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30-Day Plan"/>
    <sheet r:id="rId2" sheetId="2" name="Progress"/>
  </sheets>
  <definedNames>
    <definedName name="_xlnm._FilterDatabase" localSheetId="0">'130-Day Plan'!$A$1:$I$131</definedName>
  </definedNames>
  <calcPr fullCalcOnLoad="1"/>
</workbook>
</file>

<file path=xl/sharedStrings.xml><?xml version="1.0" encoding="utf-8"?>
<sst xmlns="http://schemas.openxmlformats.org/spreadsheetml/2006/main" count="800" uniqueCount="296">
  <si>
    <t>130-Day LeetCode Plan — Progress Tracker</t>
  </si>
  <si>
    <t>Total Problems</t>
  </si>
  <si>
    <t>Done</t>
  </si>
  <si>
    <t>In Progress</t>
  </si>
  <si>
    <t>Not Started</t>
  </si>
  <si>
    <t>Skipped</t>
  </si>
  <si>
    <t>% Complete</t>
  </si>
  <si>
    <t>Difficulty Breakdown</t>
  </si>
  <si>
    <t>Easy</t>
  </si>
  <si>
    <t>Medium</t>
  </si>
  <si>
    <t>Hard</t>
  </si>
  <si>
    <t>Day</t>
  </si>
  <si>
    <t>Pattern / Topic</t>
  </si>
  <si>
    <t>Problem</t>
  </si>
  <si>
    <t>Difficulty</t>
  </si>
  <si>
    <t>LeetCode Link</t>
  </si>
  <si>
    <t>Est. Time (min)</t>
  </si>
  <si>
    <t>Why this problem</t>
  </si>
  <si>
    <t>Status</t>
  </si>
  <si>
    <t>Notes</t>
  </si>
  <si>
    <t>Arrays &amp; Basics</t>
  </si>
  <si>
    <t>Two Sum</t>
  </si>
  <si>
    <t>Open problem</t>
  </si>
  <si>
    <t>The classic first problem — hashmap for O(1) lookup</t>
  </si>
  <si>
    <t>Best Time to Buy and Sell Stock</t>
  </si>
  <si>
    <t>Track a running minimum while scanning once</t>
  </si>
  <si>
    <t>Contains Duplicate</t>
  </si>
  <si>
    <t>Set membership check, O(n) vs O(n^2)</t>
  </si>
  <si>
    <t>Maximum Subarray</t>
  </si>
  <si>
    <t>Introduces Kadane&amp;apos;s algorithm</t>
  </si>
  <si>
    <t>Move Zeroes</t>
  </si>
  <si>
    <t>In-place array rearrangement, two-pointer flavor</t>
  </si>
  <si>
    <t>Single Number</t>
  </si>
  <si>
    <t>XOR trick — fun &amp;apos;aha&amp;apos; moment for beginners</t>
  </si>
  <si>
    <t>Majority Element</t>
  </si>
  <si>
    <t>Boyer-Moore voting, or simple hashmap counting</t>
  </si>
  <si>
    <t>Plus One</t>
  </si>
  <si>
    <t>Careful edge-case handling (carry-over digits)</t>
  </si>
  <si>
    <t>Remove Duplicates from Sorted Array</t>
  </si>
  <si>
    <t>In-place modification, sets up two-pointer thinking</t>
  </si>
  <si>
    <t>Merge Sorted Array</t>
  </si>
  <si>
    <t>Merge from the back — a neat trick worth teaching explicitly</t>
  </si>
  <si>
    <t>Two Pointers</t>
  </si>
  <si>
    <t>Valid Palindrome</t>
  </si>
  <si>
    <t>Pointers from both ends moving inward</t>
  </si>
  <si>
    <t>Reverse String</t>
  </si>
  <si>
    <t>Simplest possible two-pointer swap</t>
  </si>
  <si>
    <t>Two Sum II - Input Array Is Sorted</t>
  </si>
  <si>
    <t>Same problem as Day 1, new tool: sorted array + two pointers</t>
  </si>
  <si>
    <t>Remove Element</t>
  </si>
  <si>
    <t>In-place removal, overwrite-in-place pattern</t>
  </si>
  <si>
    <t>Squares of a Sorted Array</t>
  </si>
  <si>
    <t>Two pointers from outside-in due to negative numbers</t>
  </si>
  <si>
    <t>Sort Colors</t>
  </si>
  <si>
    <t>Dutch National Flag — three-pointer partitioning</t>
  </si>
  <si>
    <t>3Sum</t>
  </si>
  <si>
    <t>Fix one element, two-pointer the rest — very common interview Q</t>
  </si>
  <si>
    <t>Container With Most Water</t>
  </si>
  <si>
    <t>Greedy pointer movement based on height comparison</t>
  </si>
  <si>
    <t>Sliding Window</t>
  </si>
  <si>
    <t>Maximum Average Subarray I</t>
  </si>
  <si>
    <t>Fixed-size window — the simplest sliding window</t>
  </si>
  <si>
    <t>Longest Substring Without Repeating Characters</t>
  </si>
  <si>
    <t>Variable-size window with a hashset</t>
  </si>
  <si>
    <t>Minimum Size Subarray Sum</t>
  </si>
  <si>
    <t>Shrink-the-window-when-valid pattern</t>
  </si>
  <si>
    <t>Fruit Into Baskets</t>
  </si>
  <si>
    <t>Window with at-most-2-distinct-types constraint</t>
  </si>
  <si>
    <t>Longest Repeating Character Replacement</t>
  </si>
  <si>
    <t>Window + frequency count + a replacement budget</t>
  </si>
  <si>
    <t>Find All Anagrams in a String</t>
  </si>
  <si>
    <t>Fixed window + character frequency matching</t>
  </si>
  <si>
    <t>Permutation in String</t>
  </si>
  <si>
    <t>Same idea as previous day, different question shape</t>
  </si>
  <si>
    <t>Sliding Window Maximum</t>
  </si>
  <si>
    <t>Stretch problem: monotonic deque — optional, but a great &amp;apos;aha&amp;apos;</t>
  </si>
  <si>
    <t>Hashing</t>
  </si>
  <si>
    <t>Valid Anagram</t>
  </si>
  <si>
    <t>Character frequency counting with a hashmap</t>
  </si>
  <si>
    <t>Group Anagrams</t>
  </si>
  <si>
    <t>Use a sorted string (or count tuple) as a hashmap key</t>
  </si>
  <si>
    <t>Top K Frequent Elements</t>
  </si>
  <si>
    <t>Hashmap counting + bucket sort or heap</t>
  </si>
  <si>
    <t>Product of Array Except Self</t>
  </si>
  <si>
    <t>Prefix and suffix products without division</t>
  </si>
  <si>
    <t>Longest Consecutive Sequence</t>
  </si>
  <si>
    <t>Hashset trick to get O(n) instead of sorting</t>
  </si>
  <si>
    <t>Isomorphic Strings</t>
  </si>
  <si>
    <t>Two-way character mapping with two hashmaps</t>
  </si>
  <si>
    <t>Word Pattern</t>
  </si>
  <si>
    <t>Same idea as previous day, words instead of characters</t>
  </si>
  <si>
    <t>Ransom Note</t>
  </si>
  <si>
    <t>Simple frequency-count comparison</t>
  </si>
  <si>
    <t>Strings</t>
  </si>
  <si>
    <t>Valid Parentheses</t>
  </si>
  <si>
    <t>Stack basics disguised as a string problem</t>
  </si>
  <si>
    <t>Find the Index of the First Occurrence in a String</t>
  </si>
  <si>
    <t>Classic strStr() — brute-force substring search</t>
  </si>
  <si>
    <t>Longest Common Prefix</t>
  </si>
  <si>
    <t>Compare characters column by column across strings</t>
  </si>
  <si>
    <t>Reverse Words in a String</t>
  </si>
  <si>
    <t>String splitting, trimming, and reassembly</t>
  </si>
  <si>
    <t>String Compression</t>
  </si>
  <si>
    <t>In-place string building with a write pointer</t>
  </si>
  <si>
    <t>Roman to Integer</t>
  </si>
  <si>
    <t>Hashmap + a subtraction special case</t>
  </si>
  <si>
    <t>Integer to Roman</t>
  </si>
  <si>
    <t>Reverse direction of the previous day&amp;apos;s problem</t>
  </si>
  <si>
    <t>Zigzag Conversion</t>
  </si>
  <si>
    <t>Simulate the zigzag with row buffers — visual, fun to trace on paper</t>
  </si>
  <si>
    <t>Linked Lists</t>
  </si>
  <si>
    <t>Reverse Linked List</t>
  </si>
  <si>
    <t>THE linked-list problem everyone must know cold</t>
  </si>
  <si>
    <t>Merge Two Sorted Lists</t>
  </si>
  <si>
    <t>Dummy-head technique — introduce it here, reuse it forever</t>
  </si>
  <si>
    <t>Linked List Cycle</t>
  </si>
  <si>
    <t>Floyd&amp;apos;s slow/fast pointer (tortoise and hare)</t>
  </si>
  <si>
    <t>Middle of the Linked List</t>
  </si>
  <si>
    <t>Same slow/fast pointer trick, different goal</t>
  </si>
  <si>
    <t>Remove Linked List Elements</t>
  </si>
  <si>
    <t>Dummy head again, deleting nodes safely</t>
  </si>
  <si>
    <t>Palindrome Linked List</t>
  </si>
  <si>
    <t>Combine: find middle + reverse half + compare</t>
  </si>
  <si>
    <t>Remove Nth Node From End of List</t>
  </si>
  <si>
    <t>Two pointers with a fixed gap between them</t>
  </si>
  <si>
    <t>Add Two Numbers</t>
  </si>
  <si>
    <t>Digit-by-digit addition with carry, linked-list style</t>
  </si>
  <si>
    <t>Reorder List</t>
  </si>
  <si>
    <t>Combine: find middle + reverse half + merge/interleave</t>
  </si>
  <si>
    <t>Copy List with Random Pointer</t>
  </si>
  <si>
    <t>Hashmap to map old nodes to new ones</t>
  </si>
  <si>
    <t>Stacks &amp; Queues</t>
  </si>
  <si>
    <t>Min Stack</t>
  </si>
  <si>
    <t>Design a stack that also tracks its minimum in O(1)</t>
  </si>
  <si>
    <t>Implement Queue using Stacks</t>
  </si>
  <si>
    <t>Forces real understanding of stack vs queue order</t>
  </si>
  <si>
    <t>Implement Stack using Queues</t>
  </si>
  <si>
    <t>The mirror-image of the previous day</t>
  </si>
  <si>
    <t>Evaluate Reverse Polish Notation</t>
  </si>
  <si>
    <t>Classic stack-based expression evaluation</t>
  </si>
  <si>
    <t>Daily Temperatures</t>
  </si>
  <si>
    <t>Introduces the monotonic stack pattern</t>
  </si>
  <si>
    <t>Next Greater Element I</t>
  </si>
  <si>
    <t>Same monotonic stack idea, simpler shape</t>
  </si>
  <si>
    <t>Design Circular Queue</t>
  </si>
  <si>
    <t>Array-backed queue with wraparound indices</t>
  </si>
  <si>
    <t>Asteroid Collision</t>
  </si>
  <si>
    <t>Stack simulation with directional collision rules</t>
  </si>
  <si>
    <t>Binary Search</t>
  </si>
  <si>
    <t>The template every later binary-search problem builds on</t>
  </si>
  <si>
    <t>Search Insert Position</t>
  </si>
  <si>
    <t>Same template, returns insertion point instead of -1</t>
  </si>
  <si>
    <t>First Bad Version</t>
  </si>
  <si>
    <t>Binary search on an API instead of an array</t>
  </si>
  <si>
    <t>Find Peak Element</t>
  </si>
  <si>
    <t>Binary search on a condition, not a sorted value</t>
  </si>
  <si>
    <t>Search in Rotated Sorted Array</t>
  </si>
  <si>
    <t>Decide which half is sorted at each step</t>
  </si>
  <si>
    <t>Find Minimum in Rotated Sorted Array</t>
  </si>
  <si>
    <t>Same rotated-array idea, simpler target</t>
  </si>
  <si>
    <t>Koko Eating Bananas</t>
  </si>
  <si>
    <t>Binary search on the ANSWER, not the array — a mindset shift</t>
  </si>
  <si>
    <t>Capacity To Ship Packages Within D Days</t>
  </si>
  <si>
    <t>Same &amp;apos;binary search the answer&amp;apos; idea, harder framing</t>
  </si>
  <si>
    <t>Trees</t>
  </si>
  <si>
    <t>Maximum Depth of Binary Tree</t>
  </si>
  <si>
    <t>The &amp;apos;hello world&amp;apos; of recursive tree problems</t>
  </si>
  <si>
    <t>Invert Binary Tree</t>
  </si>
  <si>
    <t>Simple recursive swap — satisfying to visualize</t>
  </si>
  <si>
    <t>Same Tree</t>
  </si>
  <si>
    <t>Recursive structural comparison</t>
  </si>
  <si>
    <t>Symmetric Tree</t>
  </si>
  <si>
    <t>Compare a tree against its own mirror</t>
  </si>
  <si>
    <t>Binary Tree Level Order Traversal</t>
  </si>
  <si>
    <t>First real BFS-on-a-tree problem, using a queue</t>
  </si>
  <si>
    <t>Balanced Binary Tree</t>
  </si>
  <si>
    <t>Recursion that returns height AND a validity flag</t>
  </si>
  <si>
    <t>Diameter of Binary Tree</t>
  </si>
  <si>
    <t>Track a running answer during a height recursion</t>
  </si>
  <si>
    <t>Path Sum</t>
  </si>
  <si>
    <t>Root-to-leaf recursion with a running total</t>
  </si>
  <si>
    <t>Lowest Common Ancestor of a Binary Search Tree</t>
  </si>
  <si>
    <t>Use BST ordering to skip half the tree each step</t>
  </si>
  <si>
    <t>Validate Binary Search Tree</t>
  </si>
  <si>
    <t>Recursion with a valid (min, max) range passed down</t>
  </si>
  <si>
    <t>Binary Tree Right Side View</t>
  </si>
  <si>
    <t>BFS level-order, keep only the last node per level</t>
  </si>
  <si>
    <t>Kth Smallest Element in a BST</t>
  </si>
  <si>
    <t>In-order traversal gives sorted order for free</t>
  </si>
  <si>
    <t>Graphs (BFS/DFS)</t>
  </si>
  <si>
    <t>Number of Islands</t>
  </si>
  <si>
    <t>THE grid-graph problem — DFS/BFS flood fill</t>
  </si>
  <si>
    <t>Flood Fill</t>
  </si>
  <si>
    <t>Same flood-fill idea, simpler framing — good warm-up</t>
  </si>
  <si>
    <t>Max Area of Island</t>
  </si>
  <si>
    <t>Same traversal, now counting cells instead of islands</t>
  </si>
  <si>
    <t>Clone Graph</t>
  </si>
  <si>
    <t>DFS/BFS + hashmap to avoid cloning nodes twice</t>
  </si>
  <si>
    <t>Course Schedule</t>
  </si>
  <si>
    <t>Cycle detection in a directed graph (topological sort intro)</t>
  </si>
  <si>
    <t>Rotting Oranges</t>
  </si>
  <si>
    <t>Multi-source BFS — start from many points at once</t>
  </si>
  <si>
    <t>Pacific Atlantic Water Flow</t>
  </si>
  <si>
    <t>DFS from the borders inward, then intersect results</t>
  </si>
  <si>
    <t>Word Search</t>
  </si>
  <si>
    <t>DFS with backtracking on a grid</t>
  </si>
  <si>
    <t>Surrounded Regions</t>
  </si>
  <si>
    <t>DFS from the border to mark what should survive</t>
  </si>
  <si>
    <t>Is Graph Bipartite?</t>
  </si>
  <si>
    <t>Two-coloring a graph via BFS/DFS</t>
  </si>
  <si>
    <t>Recursion &amp; Backtracking</t>
  </si>
  <si>
    <t>Subsets</t>
  </si>
  <si>
    <t>The backtracking template: include/exclude each element</t>
  </si>
  <si>
    <t>Permutations</t>
  </si>
  <si>
    <t>Backtracking with a &amp;apos;used&amp;apos; tracker</t>
  </si>
  <si>
    <t>Combinations</t>
  </si>
  <si>
    <t>Backtracking with a start-index to avoid duplicates</t>
  </si>
  <si>
    <t>Combination Sum</t>
  </si>
  <si>
    <t>Backtracking where the same number can repeat</t>
  </si>
  <si>
    <t>Letter Combinations of a Phone Number</t>
  </si>
  <si>
    <t>Backtracking over a mapping instead of a single array</t>
  </si>
  <si>
    <t>Generate Parentheses</t>
  </si>
  <si>
    <t>Backtracking with two constraints (open/close counts)</t>
  </si>
  <si>
    <t>Palindrome Partitioning</t>
  </si>
  <si>
    <t>Backtracking + a palindrome check at each branch</t>
  </si>
  <si>
    <t>N-Queens</t>
  </si>
  <si>
    <t>Stretch problem — the &amp;apos;boss level&amp;apos; of backtracking</t>
  </si>
  <si>
    <t>Dynamic Programming (1D)</t>
  </si>
  <si>
    <t>Climbing Stairs</t>
  </si>
  <si>
    <t>Fibonacci in disguise — the gentlest DP intro possible</t>
  </si>
  <si>
    <t>House Robber</t>
  </si>
  <si>
    <t>DP with a &amp;apos;take it or skip it&amp;apos; choice at each step</t>
  </si>
  <si>
    <t>House Robber II</t>
  </si>
  <si>
    <t>Same idea, now on a circular street</t>
  </si>
  <si>
    <t>Longest Increasing Subsequence</t>
  </si>
  <si>
    <t>Classic O(n^2) DP, can mention O(n log n) as a stretch</t>
  </si>
  <si>
    <t>Coin Change</t>
  </si>
  <si>
    <t>Bottom-up DP building up from amount 0</t>
  </si>
  <si>
    <t>Maximum Product Subarray</t>
  </si>
  <si>
    <t>Track running max AND min (negatives flip things)</t>
  </si>
  <si>
    <t>Word Break</t>
  </si>
  <si>
    <t>DP over string prefixes with a dictionary check</t>
  </si>
  <si>
    <t>Decode Ways</t>
  </si>
  <si>
    <t>DP with a one-or-two-digit branching choice</t>
  </si>
  <si>
    <t>Partition Equal Subset Sum</t>
  </si>
  <si>
    <t>Subset-sum DP — a very common interview variant</t>
  </si>
  <si>
    <t>Combination Sum IV</t>
  </si>
  <si>
    <t>DP version of a backtracking problem from Day 91-98</t>
  </si>
  <si>
    <t>Dynamic Programming (2D/Grids)</t>
  </si>
  <si>
    <t>Unique Paths</t>
  </si>
  <si>
    <t>Simplest 2D grid DP — count paths, no obstacles</t>
  </si>
  <si>
    <t>Minimum Path Sum</t>
  </si>
  <si>
    <t>Same grid, now minimizing a cost instead of counting</t>
  </si>
  <si>
    <t>Triangle</t>
  </si>
  <si>
    <t>Bottom-up DP over a triangular grid</t>
  </si>
  <si>
    <t>Longest Common Subsequence</t>
  </si>
  <si>
    <t>The template 2D string-vs-string DP problem</t>
  </si>
  <si>
    <t>Maximal Square</t>
  </si>
  <si>
    <t>2D DP where each cell depends on 3 neighbors</t>
  </si>
  <si>
    <t>Target Sum</t>
  </si>
  <si>
    <t>DP reframed as a subset-sum counting problem</t>
  </si>
  <si>
    <t>Interleaving String</t>
  </si>
  <si>
    <t>2D DP tracking two string pointers at once</t>
  </si>
  <si>
    <t>Edit Distance</t>
  </si>
  <si>
    <t>Stretch problem — the &amp;apos;boss level&amp;apos; of string DP</t>
  </si>
  <si>
    <t>Heaps / Priority Queue</t>
  </si>
  <si>
    <t>Kth Largest Element in an Array</t>
  </si>
  <si>
    <t>Min-heap of size k — a reusable trick</t>
  </si>
  <si>
    <t>Last Stone Weight</t>
  </si>
  <si>
    <t>Max-heap simulation, straightforward warm-up</t>
  </si>
  <si>
    <t>K Closest Points to Origin</t>
  </si>
  <si>
    <t>Same size-k heap trick, different comparison key</t>
  </si>
  <si>
    <t>Top K Frequent Words</t>
  </si>
  <si>
    <t>Heap with a custom tie-breaking comparator</t>
  </si>
  <si>
    <t>Task Scheduler</t>
  </si>
  <si>
    <t>Max-heap + cooldown counting — a fun simulation problem</t>
  </si>
  <si>
    <t>Find Median from Data Stream</t>
  </si>
  <si>
    <t>Stretch problem — two heaps balancing each other</t>
  </si>
  <si>
    <t>Greedy</t>
  </si>
  <si>
    <t>Jump Game</t>
  </si>
  <si>
    <t>Track the farthest reachable index greedily</t>
  </si>
  <si>
    <t>Gas Station</t>
  </si>
  <si>
    <t>A greedy proof that feels almost like magic the first time</t>
  </si>
  <si>
    <t>Insert Interval</t>
  </si>
  <si>
    <t>Merge a new interval into an already-sorted list</t>
  </si>
  <si>
    <t>Merge Intervals</t>
  </si>
  <si>
    <t>Sort first, then greedily merge overlaps</t>
  </si>
  <si>
    <t>Non-overlapping Intervals</t>
  </si>
  <si>
    <t>Greedy interval scheduling by earliest end time</t>
  </si>
  <si>
    <t>Capstone (Mixed Patterns)</t>
  </si>
  <si>
    <t>LRU Cache</t>
  </si>
  <si>
    <t>Ties back to your OOP design checkpoint — hashmap + ordered structure</t>
  </si>
  <si>
    <t>Implement Trie (Prefix Tree)</t>
  </si>
  <si>
    <t>A new data structure built entirely from what you already know: nodes + hashmaps</t>
  </si>
  <si>
    <t>Merge k Sorted Lists</t>
  </si>
  <si>
    <t>Grand finale: heaps + linked lists + merging, all in one problem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</si>
</sst>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%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6100"/>
      <name val="Arial"/>
      <family val="2"/>
    </font>
    <font>
      <u/>
      <sz val="11"/>
      <color rgb="FF0563c1"/>
      <name val="Arial"/>
      <family val="2"/>
    </font>
    <font>
      <sz val="11"/>
      <color rgb="FF9c6500"/>
      <name val="Arial"/>
      <family val="2"/>
    </font>
    <font>
      <sz val="11"/>
      <color rgb="FF9c000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3b5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2" applyBorder="1" fontId="4" applyFont="1" fillId="2" applyFill="1" applyAlignment="1">
      <alignment horizontal="center"/>
    </xf>
    <xf xfId="0" numFmtId="0" borderId="2" applyBorder="1" fontId="4" applyFont="1" fillId="2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0" borderId="2" applyBorder="1" fontId="5" applyFont="1" fillId="3" applyFill="1" applyAlignment="1">
      <alignment horizontal="center"/>
    </xf>
    <xf xfId="0" numFmtId="0" borderId="2" applyBorder="1" fontId="6" applyFont="1" fillId="0" applyAlignment="1">
      <alignment horizontal="left"/>
    </xf>
    <xf xfId="0" numFmtId="0" borderId="2" applyBorder="1" fontId="7" applyFont="1" fillId="4" applyFill="1" applyAlignment="1">
      <alignment horizontal="center"/>
    </xf>
    <xf xfId="0" numFmtId="0" borderId="2" applyBorder="1" fontId="8" applyFont="1" fillId="5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9" width="6.005" customWidth="1" bestFit="1"/>
    <col min="2" max="2" style="9" width="24.005" customWidth="1" bestFit="1"/>
    <col min="3" max="3" style="9" width="42.005" customWidth="1" bestFit="1"/>
    <col min="4" max="4" style="20" width="12.005" customWidth="1" bestFit="1"/>
    <col min="5" max="5" style="9" width="14.005" customWidth="1" bestFit="1"/>
    <col min="6" max="6" style="19" width="10.005" customWidth="1" bestFit="1"/>
    <col min="7" max="7" style="9" width="46.005" customWidth="1" bestFit="1"/>
    <col min="8" max="8" style="9" width="14.005" customWidth="1" bestFit="1"/>
    <col min="9" max="9" style="9" width="24.005" customWidth="1" bestFit="1"/>
  </cols>
  <sheetData>
    <row x14ac:dyDescent="0.25" r="1" customHeight="1" ht="18.75">
      <c r="A1" s="11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1" t="s">
        <v>16</v>
      </c>
      <c r="G1" s="12" t="s">
        <v>17</v>
      </c>
      <c r="H1" s="12" t="s">
        <v>18</v>
      </c>
      <c r="I1" s="12" t="s">
        <v>19</v>
      </c>
    </row>
    <row x14ac:dyDescent="0.25" r="2" customHeight="1" ht="18.75">
      <c r="A2" s="13">
        <v>1</v>
      </c>
      <c r="B2" s="14" t="s">
        <v>20</v>
      </c>
      <c r="C2" s="14" t="s">
        <v>21</v>
      </c>
      <c r="D2" s="15" t="s">
        <v>8</v>
      </c>
      <c r="E2" s="16" t="s">
        <v>22</v>
      </c>
      <c r="F2" s="13">
        <v>15</v>
      </c>
      <c r="G2" s="14" t="s">
        <v>23</v>
      </c>
      <c r="H2" s="14" t="s">
        <v>4</v>
      </c>
      <c r="I2" s="14"/>
    </row>
    <row x14ac:dyDescent="0.25" r="3" customHeight="1" ht="18.75">
      <c r="A3" s="13">
        <v>2</v>
      </c>
      <c r="B3" s="14" t="s">
        <v>20</v>
      </c>
      <c r="C3" s="14" t="s">
        <v>24</v>
      </c>
      <c r="D3" s="15" t="s">
        <v>8</v>
      </c>
      <c r="E3" s="16" t="s">
        <v>22</v>
      </c>
      <c r="F3" s="13">
        <v>15</v>
      </c>
      <c r="G3" s="14" t="s">
        <v>25</v>
      </c>
      <c r="H3" s="14" t="s">
        <v>4</v>
      </c>
      <c r="I3" s="14"/>
    </row>
    <row x14ac:dyDescent="0.25" r="4" customHeight="1" ht="18.75">
      <c r="A4" s="13">
        <v>3</v>
      </c>
      <c r="B4" s="14" t="s">
        <v>20</v>
      </c>
      <c r="C4" s="14" t="s">
        <v>26</v>
      </c>
      <c r="D4" s="15" t="s">
        <v>8</v>
      </c>
      <c r="E4" s="16" t="s">
        <v>22</v>
      </c>
      <c r="F4" s="13">
        <v>10</v>
      </c>
      <c r="G4" s="14" t="s">
        <v>27</v>
      </c>
      <c r="H4" s="14" t="s">
        <v>4</v>
      </c>
      <c r="I4" s="14"/>
    </row>
    <row x14ac:dyDescent="0.25" r="5" customHeight="1" ht="18.75">
      <c r="A5" s="13">
        <v>4</v>
      </c>
      <c r="B5" s="14" t="s">
        <v>20</v>
      </c>
      <c r="C5" s="14" t="s">
        <v>28</v>
      </c>
      <c r="D5" s="17" t="s">
        <v>9</v>
      </c>
      <c r="E5" s="16" t="s">
        <v>22</v>
      </c>
      <c r="F5" s="13">
        <v>20</v>
      </c>
      <c r="G5" s="14" t="s">
        <v>29</v>
      </c>
      <c r="H5" s="14" t="s">
        <v>4</v>
      </c>
      <c r="I5" s="14"/>
    </row>
    <row x14ac:dyDescent="0.25" r="6" customHeight="1" ht="18.75">
      <c r="A6" s="13">
        <v>5</v>
      </c>
      <c r="B6" s="14" t="s">
        <v>20</v>
      </c>
      <c r="C6" s="14" t="s">
        <v>30</v>
      </c>
      <c r="D6" s="15" t="s">
        <v>8</v>
      </c>
      <c r="E6" s="16" t="s">
        <v>22</v>
      </c>
      <c r="F6" s="13">
        <v>15</v>
      </c>
      <c r="G6" s="14" t="s">
        <v>31</v>
      </c>
      <c r="H6" s="14" t="s">
        <v>4</v>
      </c>
      <c r="I6" s="14"/>
    </row>
    <row x14ac:dyDescent="0.25" r="7" customHeight="1" ht="18.75">
      <c r="A7" s="13">
        <v>6</v>
      </c>
      <c r="B7" s="14" t="s">
        <v>20</v>
      </c>
      <c r="C7" s="14" t="s">
        <v>32</v>
      </c>
      <c r="D7" s="15" t="s">
        <v>8</v>
      </c>
      <c r="E7" s="16" t="s">
        <v>22</v>
      </c>
      <c r="F7" s="13">
        <v>10</v>
      </c>
      <c r="G7" s="14" t="s">
        <v>33</v>
      </c>
      <c r="H7" s="14" t="s">
        <v>4</v>
      </c>
      <c r="I7" s="14"/>
    </row>
    <row x14ac:dyDescent="0.25" r="8" customHeight="1" ht="18.75">
      <c r="A8" s="13">
        <v>7</v>
      </c>
      <c r="B8" s="14" t="s">
        <v>20</v>
      </c>
      <c r="C8" s="14" t="s">
        <v>34</v>
      </c>
      <c r="D8" s="15" t="s">
        <v>8</v>
      </c>
      <c r="E8" s="16" t="s">
        <v>22</v>
      </c>
      <c r="F8" s="13">
        <v>15</v>
      </c>
      <c r="G8" s="14" t="s">
        <v>35</v>
      </c>
      <c r="H8" s="14" t="s">
        <v>4</v>
      </c>
      <c r="I8" s="14"/>
    </row>
    <row x14ac:dyDescent="0.25" r="9" customHeight="1" ht="18.75">
      <c r="A9" s="13">
        <v>8</v>
      </c>
      <c r="B9" s="14" t="s">
        <v>20</v>
      </c>
      <c r="C9" s="14" t="s">
        <v>36</v>
      </c>
      <c r="D9" s="15" t="s">
        <v>8</v>
      </c>
      <c r="E9" s="16" t="s">
        <v>22</v>
      </c>
      <c r="F9" s="13">
        <v>10</v>
      </c>
      <c r="G9" s="14" t="s">
        <v>37</v>
      </c>
      <c r="H9" s="14" t="s">
        <v>4</v>
      </c>
      <c r="I9" s="14"/>
    </row>
    <row x14ac:dyDescent="0.25" r="10" customHeight="1" ht="18.75">
      <c r="A10" s="13">
        <v>9</v>
      </c>
      <c r="B10" s="14" t="s">
        <v>20</v>
      </c>
      <c r="C10" s="14" t="s">
        <v>38</v>
      </c>
      <c r="D10" s="15" t="s">
        <v>8</v>
      </c>
      <c r="E10" s="16" t="s">
        <v>22</v>
      </c>
      <c r="F10" s="13">
        <v>15</v>
      </c>
      <c r="G10" s="14" t="s">
        <v>39</v>
      </c>
      <c r="H10" s="14" t="s">
        <v>4</v>
      </c>
      <c r="I10" s="14"/>
    </row>
    <row x14ac:dyDescent="0.25" r="11" customHeight="1" ht="18.75">
      <c r="A11" s="13">
        <v>10</v>
      </c>
      <c r="B11" s="14" t="s">
        <v>20</v>
      </c>
      <c r="C11" s="14" t="s">
        <v>40</v>
      </c>
      <c r="D11" s="15" t="s">
        <v>8</v>
      </c>
      <c r="E11" s="16" t="s">
        <v>22</v>
      </c>
      <c r="F11" s="13">
        <v>15</v>
      </c>
      <c r="G11" s="14" t="s">
        <v>41</v>
      </c>
      <c r="H11" s="14" t="s">
        <v>4</v>
      </c>
      <c r="I11" s="14"/>
    </row>
    <row x14ac:dyDescent="0.25" r="12" customHeight="1" ht="18.75">
      <c r="A12" s="13">
        <v>11</v>
      </c>
      <c r="B12" s="14" t="s">
        <v>42</v>
      </c>
      <c r="C12" s="14" t="s">
        <v>43</v>
      </c>
      <c r="D12" s="15" t="s">
        <v>8</v>
      </c>
      <c r="E12" s="16" t="s">
        <v>22</v>
      </c>
      <c r="F12" s="13">
        <v>15</v>
      </c>
      <c r="G12" s="14" t="s">
        <v>44</v>
      </c>
      <c r="H12" s="14" t="s">
        <v>4</v>
      </c>
      <c r="I12" s="14"/>
    </row>
    <row x14ac:dyDescent="0.25" r="13" customHeight="1" ht="18.75">
      <c r="A13" s="13">
        <v>12</v>
      </c>
      <c r="B13" s="14" t="s">
        <v>42</v>
      </c>
      <c r="C13" s="14" t="s">
        <v>45</v>
      </c>
      <c r="D13" s="15" t="s">
        <v>8</v>
      </c>
      <c r="E13" s="16" t="s">
        <v>22</v>
      </c>
      <c r="F13" s="13">
        <v>10</v>
      </c>
      <c r="G13" s="14" t="s">
        <v>46</v>
      </c>
      <c r="H13" s="14" t="s">
        <v>4</v>
      </c>
      <c r="I13" s="14"/>
    </row>
    <row x14ac:dyDescent="0.25" r="14" customHeight="1" ht="18.75">
      <c r="A14" s="13">
        <v>13</v>
      </c>
      <c r="B14" s="14" t="s">
        <v>42</v>
      </c>
      <c r="C14" s="14" t="s">
        <v>47</v>
      </c>
      <c r="D14" s="17" t="s">
        <v>9</v>
      </c>
      <c r="E14" s="16" t="s">
        <v>22</v>
      </c>
      <c r="F14" s="13">
        <v>15</v>
      </c>
      <c r="G14" s="14" t="s">
        <v>48</v>
      </c>
      <c r="H14" s="14" t="s">
        <v>4</v>
      </c>
      <c r="I14" s="14"/>
    </row>
    <row x14ac:dyDescent="0.25" r="15" customHeight="1" ht="18.75">
      <c r="A15" s="13">
        <v>14</v>
      </c>
      <c r="B15" s="14" t="s">
        <v>42</v>
      </c>
      <c r="C15" s="14" t="s">
        <v>49</v>
      </c>
      <c r="D15" s="15" t="s">
        <v>8</v>
      </c>
      <c r="E15" s="16" t="s">
        <v>22</v>
      </c>
      <c r="F15" s="13">
        <v>10</v>
      </c>
      <c r="G15" s="14" t="s">
        <v>50</v>
      </c>
      <c r="H15" s="14" t="s">
        <v>4</v>
      </c>
      <c r="I15" s="14"/>
    </row>
    <row x14ac:dyDescent="0.25" r="16" customHeight="1" ht="18.75">
      <c r="A16" s="13">
        <v>15</v>
      </c>
      <c r="B16" s="14" t="s">
        <v>42</v>
      </c>
      <c r="C16" s="14" t="s">
        <v>51</v>
      </c>
      <c r="D16" s="15" t="s">
        <v>8</v>
      </c>
      <c r="E16" s="16" t="s">
        <v>22</v>
      </c>
      <c r="F16" s="13">
        <v>15</v>
      </c>
      <c r="G16" s="14" t="s">
        <v>52</v>
      </c>
      <c r="H16" s="14" t="s">
        <v>4</v>
      </c>
      <c r="I16" s="14"/>
    </row>
    <row x14ac:dyDescent="0.25" r="17" customHeight="1" ht="18.75">
      <c r="A17" s="13">
        <v>16</v>
      </c>
      <c r="B17" s="14" t="s">
        <v>42</v>
      </c>
      <c r="C17" s="14" t="s">
        <v>53</v>
      </c>
      <c r="D17" s="17" t="s">
        <v>9</v>
      </c>
      <c r="E17" s="16" t="s">
        <v>22</v>
      </c>
      <c r="F17" s="13">
        <v>20</v>
      </c>
      <c r="G17" s="14" t="s">
        <v>54</v>
      </c>
      <c r="H17" s="14" t="s">
        <v>4</v>
      </c>
      <c r="I17" s="14"/>
    </row>
    <row x14ac:dyDescent="0.25" r="18" customHeight="1" ht="18.75">
      <c r="A18" s="13">
        <v>17</v>
      </c>
      <c r="B18" s="14" t="s">
        <v>42</v>
      </c>
      <c r="C18" s="14" t="s">
        <v>55</v>
      </c>
      <c r="D18" s="17" t="s">
        <v>9</v>
      </c>
      <c r="E18" s="16" t="s">
        <v>22</v>
      </c>
      <c r="F18" s="13">
        <v>25</v>
      </c>
      <c r="G18" s="14" t="s">
        <v>56</v>
      </c>
      <c r="H18" s="14" t="s">
        <v>4</v>
      </c>
      <c r="I18" s="14"/>
    </row>
    <row x14ac:dyDescent="0.25" r="19" customHeight="1" ht="18.75">
      <c r="A19" s="13">
        <v>18</v>
      </c>
      <c r="B19" s="14" t="s">
        <v>42</v>
      </c>
      <c r="C19" s="14" t="s">
        <v>57</v>
      </c>
      <c r="D19" s="17" t="s">
        <v>9</v>
      </c>
      <c r="E19" s="16" t="s">
        <v>22</v>
      </c>
      <c r="F19" s="13">
        <v>20</v>
      </c>
      <c r="G19" s="14" t="s">
        <v>58</v>
      </c>
      <c r="H19" s="14" t="s">
        <v>4</v>
      </c>
      <c r="I19" s="14"/>
    </row>
    <row x14ac:dyDescent="0.25" r="20" customHeight="1" ht="18.75">
      <c r="A20" s="13">
        <v>19</v>
      </c>
      <c r="B20" s="14" t="s">
        <v>59</v>
      </c>
      <c r="C20" s="14" t="s">
        <v>60</v>
      </c>
      <c r="D20" s="15" t="s">
        <v>8</v>
      </c>
      <c r="E20" s="16" t="s">
        <v>22</v>
      </c>
      <c r="F20" s="13">
        <v>15</v>
      </c>
      <c r="G20" s="14" t="s">
        <v>61</v>
      </c>
      <c r="H20" s="14" t="s">
        <v>4</v>
      </c>
      <c r="I20" s="14"/>
    </row>
    <row x14ac:dyDescent="0.25" r="21" customHeight="1" ht="18.75">
      <c r="A21" s="13">
        <v>20</v>
      </c>
      <c r="B21" s="14" t="s">
        <v>59</v>
      </c>
      <c r="C21" s="14" t="s">
        <v>62</v>
      </c>
      <c r="D21" s="17" t="s">
        <v>9</v>
      </c>
      <c r="E21" s="16" t="s">
        <v>22</v>
      </c>
      <c r="F21" s="13">
        <v>20</v>
      </c>
      <c r="G21" s="14" t="s">
        <v>63</v>
      </c>
      <c r="H21" s="14" t="s">
        <v>4</v>
      </c>
      <c r="I21" s="14"/>
    </row>
    <row x14ac:dyDescent="0.25" r="22" customHeight="1" ht="18.75">
      <c r="A22" s="13">
        <v>21</v>
      </c>
      <c r="B22" s="14" t="s">
        <v>59</v>
      </c>
      <c r="C22" s="14" t="s">
        <v>64</v>
      </c>
      <c r="D22" s="17" t="s">
        <v>9</v>
      </c>
      <c r="E22" s="16" t="s">
        <v>22</v>
      </c>
      <c r="F22" s="13">
        <v>20</v>
      </c>
      <c r="G22" s="14" t="s">
        <v>65</v>
      </c>
      <c r="H22" s="14" t="s">
        <v>4</v>
      </c>
      <c r="I22" s="14"/>
    </row>
    <row x14ac:dyDescent="0.25" r="23" customHeight="1" ht="18.75">
      <c r="A23" s="13">
        <v>22</v>
      </c>
      <c r="B23" s="14" t="s">
        <v>59</v>
      </c>
      <c r="C23" s="14" t="s">
        <v>66</v>
      </c>
      <c r="D23" s="17" t="s">
        <v>9</v>
      </c>
      <c r="E23" s="16" t="s">
        <v>22</v>
      </c>
      <c r="F23" s="13">
        <v>20</v>
      </c>
      <c r="G23" s="14" t="s">
        <v>67</v>
      </c>
      <c r="H23" s="14" t="s">
        <v>4</v>
      </c>
      <c r="I23" s="14"/>
    </row>
    <row x14ac:dyDescent="0.25" r="24" customHeight="1" ht="18.75">
      <c r="A24" s="13">
        <v>23</v>
      </c>
      <c r="B24" s="14" t="s">
        <v>59</v>
      </c>
      <c r="C24" s="14" t="s">
        <v>68</v>
      </c>
      <c r="D24" s="17" t="s">
        <v>9</v>
      </c>
      <c r="E24" s="16" t="s">
        <v>22</v>
      </c>
      <c r="F24" s="13">
        <v>25</v>
      </c>
      <c r="G24" s="14" t="s">
        <v>69</v>
      </c>
      <c r="H24" s="14" t="s">
        <v>4</v>
      </c>
      <c r="I24" s="14"/>
    </row>
    <row x14ac:dyDescent="0.25" r="25" customHeight="1" ht="18.75">
      <c r="A25" s="13">
        <v>24</v>
      </c>
      <c r="B25" s="14" t="s">
        <v>59</v>
      </c>
      <c r="C25" s="14" t="s">
        <v>70</v>
      </c>
      <c r="D25" s="17" t="s">
        <v>9</v>
      </c>
      <c r="E25" s="16" t="s">
        <v>22</v>
      </c>
      <c r="F25" s="13">
        <v>20</v>
      </c>
      <c r="G25" s="14" t="s">
        <v>71</v>
      </c>
      <c r="H25" s="14" t="s">
        <v>4</v>
      </c>
      <c r="I25" s="14"/>
    </row>
    <row x14ac:dyDescent="0.25" r="26" customHeight="1" ht="18.75">
      <c r="A26" s="13">
        <v>25</v>
      </c>
      <c r="B26" s="14" t="s">
        <v>59</v>
      </c>
      <c r="C26" s="14" t="s">
        <v>72</v>
      </c>
      <c r="D26" s="17" t="s">
        <v>9</v>
      </c>
      <c r="E26" s="16" t="s">
        <v>22</v>
      </c>
      <c r="F26" s="13">
        <v>20</v>
      </c>
      <c r="G26" s="14" t="s">
        <v>73</v>
      </c>
      <c r="H26" s="14" t="s">
        <v>4</v>
      </c>
      <c r="I26" s="14"/>
    </row>
    <row x14ac:dyDescent="0.25" r="27" customHeight="1" ht="18.75">
      <c r="A27" s="13">
        <v>26</v>
      </c>
      <c r="B27" s="14" t="s">
        <v>59</v>
      </c>
      <c r="C27" s="14" t="s">
        <v>74</v>
      </c>
      <c r="D27" s="18" t="s">
        <v>10</v>
      </c>
      <c r="E27" s="16" t="s">
        <v>22</v>
      </c>
      <c r="F27" s="13">
        <v>30</v>
      </c>
      <c r="G27" s="14" t="s">
        <v>75</v>
      </c>
      <c r="H27" s="14" t="s">
        <v>4</v>
      </c>
      <c r="I27" s="14"/>
    </row>
    <row x14ac:dyDescent="0.25" r="28" customHeight="1" ht="18.75">
      <c r="A28" s="13">
        <v>27</v>
      </c>
      <c r="B28" s="14" t="s">
        <v>76</v>
      </c>
      <c r="C28" s="14" t="s">
        <v>77</v>
      </c>
      <c r="D28" s="15" t="s">
        <v>8</v>
      </c>
      <c r="E28" s="16" t="s">
        <v>22</v>
      </c>
      <c r="F28" s="13">
        <v>10</v>
      </c>
      <c r="G28" s="14" t="s">
        <v>78</v>
      </c>
      <c r="H28" s="14" t="s">
        <v>4</v>
      </c>
      <c r="I28" s="14"/>
    </row>
    <row x14ac:dyDescent="0.25" r="29" customHeight="1" ht="18.75">
      <c r="A29" s="13">
        <v>28</v>
      </c>
      <c r="B29" s="14" t="s">
        <v>76</v>
      </c>
      <c r="C29" s="14" t="s">
        <v>79</v>
      </c>
      <c r="D29" s="17" t="s">
        <v>9</v>
      </c>
      <c r="E29" s="16" t="s">
        <v>22</v>
      </c>
      <c r="F29" s="13">
        <v>20</v>
      </c>
      <c r="G29" s="14" t="s">
        <v>80</v>
      </c>
      <c r="H29" s="14" t="s">
        <v>4</v>
      </c>
      <c r="I29" s="14"/>
    </row>
    <row x14ac:dyDescent="0.25" r="30" customHeight="1" ht="18.75">
      <c r="A30" s="13">
        <v>29</v>
      </c>
      <c r="B30" s="14" t="s">
        <v>76</v>
      </c>
      <c r="C30" s="14" t="s">
        <v>81</v>
      </c>
      <c r="D30" s="17" t="s">
        <v>9</v>
      </c>
      <c r="E30" s="16" t="s">
        <v>22</v>
      </c>
      <c r="F30" s="13">
        <v>20</v>
      </c>
      <c r="G30" s="14" t="s">
        <v>82</v>
      </c>
      <c r="H30" s="14" t="s">
        <v>4</v>
      </c>
      <c r="I30" s="14"/>
    </row>
    <row x14ac:dyDescent="0.25" r="31" customHeight="1" ht="18.75">
      <c r="A31" s="13">
        <v>30</v>
      </c>
      <c r="B31" s="14" t="s">
        <v>76</v>
      </c>
      <c r="C31" s="14" t="s">
        <v>83</v>
      </c>
      <c r="D31" s="17" t="s">
        <v>9</v>
      </c>
      <c r="E31" s="16" t="s">
        <v>22</v>
      </c>
      <c r="F31" s="13">
        <v>20</v>
      </c>
      <c r="G31" s="14" t="s">
        <v>84</v>
      </c>
      <c r="H31" s="14" t="s">
        <v>4</v>
      </c>
      <c r="I31" s="14"/>
    </row>
    <row x14ac:dyDescent="0.25" r="32" customHeight="1" ht="18.75">
      <c r="A32" s="13">
        <v>31</v>
      </c>
      <c r="B32" s="14" t="s">
        <v>76</v>
      </c>
      <c r="C32" s="14" t="s">
        <v>85</v>
      </c>
      <c r="D32" s="17" t="s">
        <v>9</v>
      </c>
      <c r="E32" s="16" t="s">
        <v>22</v>
      </c>
      <c r="F32" s="13">
        <v>25</v>
      </c>
      <c r="G32" s="14" t="s">
        <v>86</v>
      </c>
      <c r="H32" s="14" t="s">
        <v>4</v>
      </c>
      <c r="I32" s="14"/>
    </row>
    <row x14ac:dyDescent="0.25" r="33" customHeight="1" ht="18.75">
      <c r="A33" s="13">
        <v>32</v>
      </c>
      <c r="B33" s="14" t="s">
        <v>76</v>
      </c>
      <c r="C33" s="14" t="s">
        <v>87</v>
      </c>
      <c r="D33" s="15" t="s">
        <v>8</v>
      </c>
      <c r="E33" s="16" t="s">
        <v>22</v>
      </c>
      <c r="F33" s="13">
        <v>15</v>
      </c>
      <c r="G33" s="14" t="s">
        <v>88</v>
      </c>
      <c r="H33" s="14" t="s">
        <v>4</v>
      </c>
      <c r="I33" s="14"/>
    </row>
    <row x14ac:dyDescent="0.25" r="34" customHeight="1" ht="18.75">
      <c r="A34" s="13">
        <v>33</v>
      </c>
      <c r="B34" s="14" t="s">
        <v>76</v>
      </c>
      <c r="C34" s="14" t="s">
        <v>89</v>
      </c>
      <c r="D34" s="15" t="s">
        <v>8</v>
      </c>
      <c r="E34" s="16" t="s">
        <v>22</v>
      </c>
      <c r="F34" s="13">
        <v>15</v>
      </c>
      <c r="G34" s="14" t="s">
        <v>90</v>
      </c>
      <c r="H34" s="14" t="s">
        <v>4</v>
      </c>
      <c r="I34" s="14"/>
    </row>
    <row x14ac:dyDescent="0.25" r="35" customHeight="1" ht="18.75">
      <c r="A35" s="13">
        <v>34</v>
      </c>
      <c r="B35" s="14" t="s">
        <v>76</v>
      </c>
      <c r="C35" s="14" t="s">
        <v>91</v>
      </c>
      <c r="D35" s="15" t="s">
        <v>8</v>
      </c>
      <c r="E35" s="16" t="s">
        <v>22</v>
      </c>
      <c r="F35" s="13">
        <v>10</v>
      </c>
      <c r="G35" s="14" t="s">
        <v>92</v>
      </c>
      <c r="H35" s="14" t="s">
        <v>4</v>
      </c>
      <c r="I35" s="14"/>
    </row>
    <row x14ac:dyDescent="0.25" r="36" customHeight="1" ht="18.75">
      <c r="A36" s="13">
        <v>35</v>
      </c>
      <c r="B36" s="14" t="s">
        <v>93</v>
      </c>
      <c r="C36" s="14" t="s">
        <v>94</v>
      </c>
      <c r="D36" s="15" t="s">
        <v>8</v>
      </c>
      <c r="E36" s="16" t="s">
        <v>22</v>
      </c>
      <c r="F36" s="13">
        <v>15</v>
      </c>
      <c r="G36" s="14" t="s">
        <v>95</v>
      </c>
      <c r="H36" s="14" t="s">
        <v>4</v>
      </c>
      <c r="I36" s="14"/>
    </row>
    <row x14ac:dyDescent="0.25" r="37" customHeight="1" ht="18.75">
      <c r="A37" s="13">
        <v>36</v>
      </c>
      <c r="B37" s="14" t="s">
        <v>93</v>
      </c>
      <c r="C37" s="14" t="s">
        <v>96</v>
      </c>
      <c r="D37" s="15" t="s">
        <v>8</v>
      </c>
      <c r="E37" s="16" t="s">
        <v>22</v>
      </c>
      <c r="F37" s="13">
        <v>15</v>
      </c>
      <c r="G37" s="14" t="s">
        <v>97</v>
      </c>
      <c r="H37" s="14" t="s">
        <v>4</v>
      </c>
      <c r="I37" s="14"/>
    </row>
    <row x14ac:dyDescent="0.25" r="38" customHeight="1" ht="18.75">
      <c r="A38" s="13">
        <v>37</v>
      </c>
      <c r="B38" s="14" t="s">
        <v>93</v>
      </c>
      <c r="C38" s="14" t="s">
        <v>98</v>
      </c>
      <c r="D38" s="15" t="s">
        <v>8</v>
      </c>
      <c r="E38" s="16" t="s">
        <v>22</v>
      </c>
      <c r="F38" s="13">
        <v>15</v>
      </c>
      <c r="G38" s="14" t="s">
        <v>99</v>
      </c>
      <c r="H38" s="14" t="s">
        <v>4</v>
      </c>
      <c r="I38" s="14"/>
    </row>
    <row x14ac:dyDescent="0.25" r="39" customHeight="1" ht="18.75">
      <c r="A39" s="13">
        <v>38</v>
      </c>
      <c r="B39" s="14" t="s">
        <v>93</v>
      </c>
      <c r="C39" s="14" t="s">
        <v>100</v>
      </c>
      <c r="D39" s="17" t="s">
        <v>9</v>
      </c>
      <c r="E39" s="16" t="s">
        <v>22</v>
      </c>
      <c r="F39" s="13">
        <v>20</v>
      </c>
      <c r="G39" s="14" t="s">
        <v>101</v>
      </c>
      <c r="H39" s="14" t="s">
        <v>4</v>
      </c>
      <c r="I39" s="14"/>
    </row>
    <row x14ac:dyDescent="0.25" r="40" customHeight="1" ht="18.75">
      <c r="A40" s="13">
        <v>39</v>
      </c>
      <c r="B40" s="14" t="s">
        <v>93</v>
      </c>
      <c r="C40" s="14" t="s">
        <v>102</v>
      </c>
      <c r="D40" s="17" t="s">
        <v>9</v>
      </c>
      <c r="E40" s="16" t="s">
        <v>22</v>
      </c>
      <c r="F40" s="13">
        <v>20</v>
      </c>
      <c r="G40" s="14" t="s">
        <v>103</v>
      </c>
      <c r="H40" s="14" t="s">
        <v>4</v>
      </c>
      <c r="I40" s="14"/>
    </row>
    <row x14ac:dyDescent="0.25" r="41" customHeight="1" ht="18.75">
      <c r="A41" s="13">
        <v>40</v>
      </c>
      <c r="B41" s="14" t="s">
        <v>93</v>
      </c>
      <c r="C41" s="14" t="s">
        <v>104</v>
      </c>
      <c r="D41" s="15" t="s">
        <v>8</v>
      </c>
      <c r="E41" s="16" t="s">
        <v>22</v>
      </c>
      <c r="F41" s="13">
        <v>15</v>
      </c>
      <c r="G41" s="14" t="s">
        <v>105</v>
      </c>
      <c r="H41" s="14" t="s">
        <v>4</v>
      </c>
      <c r="I41" s="14"/>
    </row>
    <row x14ac:dyDescent="0.25" r="42" customHeight="1" ht="18.75">
      <c r="A42" s="13">
        <v>41</v>
      </c>
      <c r="B42" s="14" t="s">
        <v>93</v>
      </c>
      <c r="C42" s="14" t="s">
        <v>106</v>
      </c>
      <c r="D42" s="17" t="s">
        <v>9</v>
      </c>
      <c r="E42" s="16" t="s">
        <v>22</v>
      </c>
      <c r="F42" s="13">
        <v>20</v>
      </c>
      <c r="G42" s="14" t="s">
        <v>107</v>
      </c>
      <c r="H42" s="14" t="s">
        <v>4</v>
      </c>
      <c r="I42" s="14"/>
    </row>
    <row x14ac:dyDescent="0.25" r="43" customHeight="1" ht="18.75">
      <c r="A43" s="13">
        <v>42</v>
      </c>
      <c r="B43" s="14" t="s">
        <v>93</v>
      </c>
      <c r="C43" s="14" t="s">
        <v>108</v>
      </c>
      <c r="D43" s="17" t="s">
        <v>9</v>
      </c>
      <c r="E43" s="16" t="s">
        <v>22</v>
      </c>
      <c r="F43" s="13">
        <v>20</v>
      </c>
      <c r="G43" s="14" t="s">
        <v>109</v>
      </c>
      <c r="H43" s="14" t="s">
        <v>4</v>
      </c>
      <c r="I43" s="14"/>
    </row>
    <row x14ac:dyDescent="0.25" r="44" customHeight="1" ht="18.75">
      <c r="A44" s="13">
        <v>43</v>
      </c>
      <c r="B44" s="14" t="s">
        <v>110</v>
      </c>
      <c r="C44" s="14" t="s">
        <v>111</v>
      </c>
      <c r="D44" s="15" t="s">
        <v>8</v>
      </c>
      <c r="E44" s="16" t="s">
        <v>22</v>
      </c>
      <c r="F44" s="13">
        <v>15</v>
      </c>
      <c r="G44" s="14" t="s">
        <v>112</v>
      </c>
      <c r="H44" s="14" t="s">
        <v>4</v>
      </c>
      <c r="I44" s="14"/>
    </row>
    <row x14ac:dyDescent="0.25" r="45" customHeight="1" ht="18.75">
      <c r="A45" s="13">
        <v>44</v>
      </c>
      <c r="B45" s="14" t="s">
        <v>110</v>
      </c>
      <c r="C45" s="14" t="s">
        <v>113</v>
      </c>
      <c r="D45" s="15" t="s">
        <v>8</v>
      </c>
      <c r="E45" s="16" t="s">
        <v>22</v>
      </c>
      <c r="F45" s="13">
        <v>15</v>
      </c>
      <c r="G45" s="14" t="s">
        <v>114</v>
      </c>
      <c r="H45" s="14" t="s">
        <v>4</v>
      </c>
      <c r="I45" s="14"/>
    </row>
    <row x14ac:dyDescent="0.25" r="46" customHeight="1" ht="18.75">
      <c r="A46" s="13">
        <v>45</v>
      </c>
      <c r="B46" s="14" t="s">
        <v>110</v>
      </c>
      <c r="C46" s="14" t="s">
        <v>115</v>
      </c>
      <c r="D46" s="15" t="s">
        <v>8</v>
      </c>
      <c r="E46" s="16" t="s">
        <v>22</v>
      </c>
      <c r="F46" s="13">
        <v>15</v>
      </c>
      <c r="G46" s="14" t="s">
        <v>116</v>
      </c>
      <c r="H46" s="14" t="s">
        <v>4</v>
      </c>
      <c r="I46" s="14"/>
    </row>
    <row x14ac:dyDescent="0.25" r="47" customHeight="1" ht="18.75">
      <c r="A47" s="13">
        <v>46</v>
      </c>
      <c r="B47" s="14" t="s">
        <v>110</v>
      </c>
      <c r="C47" s="14" t="s">
        <v>117</v>
      </c>
      <c r="D47" s="15" t="s">
        <v>8</v>
      </c>
      <c r="E47" s="16" t="s">
        <v>22</v>
      </c>
      <c r="F47" s="13">
        <v>10</v>
      </c>
      <c r="G47" s="14" t="s">
        <v>118</v>
      </c>
      <c r="H47" s="14" t="s">
        <v>4</v>
      </c>
      <c r="I47" s="14"/>
    </row>
    <row x14ac:dyDescent="0.25" r="48" customHeight="1" ht="18.75">
      <c r="A48" s="13">
        <v>47</v>
      </c>
      <c r="B48" s="14" t="s">
        <v>110</v>
      </c>
      <c r="C48" s="14" t="s">
        <v>119</v>
      </c>
      <c r="D48" s="15" t="s">
        <v>8</v>
      </c>
      <c r="E48" s="16" t="s">
        <v>22</v>
      </c>
      <c r="F48" s="13">
        <v>15</v>
      </c>
      <c r="G48" s="14" t="s">
        <v>120</v>
      </c>
      <c r="H48" s="14" t="s">
        <v>4</v>
      </c>
      <c r="I48" s="14"/>
    </row>
    <row x14ac:dyDescent="0.25" r="49" customHeight="1" ht="18.75">
      <c r="A49" s="13">
        <v>48</v>
      </c>
      <c r="B49" s="14" t="s">
        <v>110</v>
      </c>
      <c r="C49" s="14" t="s">
        <v>121</v>
      </c>
      <c r="D49" s="15" t="s">
        <v>8</v>
      </c>
      <c r="E49" s="16" t="s">
        <v>22</v>
      </c>
      <c r="F49" s="13">
        <v>20</v>
      </c>
      <c r="G49" s="14" t="s">
        <v>122</v>
      </c>
      <c r="H49" s="14" t="s">
        <v>4</v>
      </c>
      <c r="I49" s="14"/>
    </row>
    <row x14ac:dyDescent="0.25" r="50" customHeight="1" ht="18.75">
      <c r="A50" s="13">
        <v>49</v>
      </c>
      <c r="B50" s="14" t="s">
        <v>110</v>
      </c>
      <c r="C50" s="14" t="s">
        <v>123</v>
      </c>
      <c r="D50" s="17" t="s">
        <v>9</v>
      </c>
      <c r="E50" s="16" t="s">
        <v>22</v>
      </c>
      <c r="F50" s="13">
        <v>20</v>
      </c>
      <c r="G50" s="14" t="s">
        <v>124</v>
      </c>
      <c r="H50" s="14" t="s">
        <v>4</v>
      </c>
      <c r="I50" s="14"/>
    </row>
    <row x14ac:dyDescent="0.25" r="51" customHeight="1" ht="18.75">
      <c r="A51" s="13">
        <v>50</v>
      </c>
      <c r="B51" s="14" t="s">
        <v>110</v>
      </c>
      <c r="C51" s="14" t="s">
        <v>125</v>
      </c>
      <c r="D51" s="17" t="s">
        <v>9</v>
      </c>
      <c r="E51" s="16" t="s">
        <v>22</v>
      </c>
      <c r="F51" s="13">
        <v>25</v>
      </c>
      <c r="G51" s="14" t="s">
        <v>126</v>
      </c>
      <c r="H51" s="14" t="s">
        <v>4</v>
      </c>
      <c r="I51" s="14"/>
    </row>
    <row x14ac:dyDescent="0.25" r="52" customHeight="1" ht="18.75">
      <c r="A52" s="13">
        <v>51</v>
      </c>
      <c r="B52" s="14" t="s">
        <v>110</v>
      </c>
      <c r="C52" s="14" t="s">
        <v>127</v>
      </c>
      <c r="D52" s="17" t="s">
        <v>9</v>
      </c>
      <c r="E52" s="16" t="s">
        <v>22</v>
      </c>
      <c r="F52" s="13">
        <v>25</v>
      </c>
      <c r="G52" s="14" t="s">
        <v>128</v>
      </c>
      <c r="H52" s="14" t="s">
        <v>4</v>
      </c>
      <c r="I52" s="14"/>
    </row>
    <row x14ac:dyDescent="0.25" r="53" customHeight="1" ht="18.75">
      <c r="A53" s="13">
        <v>52</v>
      </c>
      <c r="B53" s="14" t="s">
        <v>110</v>
      </c>
      <c r="C53" s="14" t="s">
        <v>129</v>
      </c>
      <c r="D53" s="17" t="s">
        <v>9</v>
      </c>
      <c r="E53" s="16" t="s">
        <v>22</v>
      </c>
      <c r="F53" s="13">
        <v>25</v>
      </c>
      <c r="G53" s="14" t="s">
        <v>130</v>
      </c>
      <c r="H53" s="14" t="s">
        <v>4</v>
      </c>
      <c r="I53" s="14"/>
    </row>
    <row x14ac:dyDescent="0.25" r="54" customHeight="1" ht="18.75">
      <c r="A54" s="13">
        <v>53</v>
      </c>
      <c r="B54" s="14" t="s">
        <v>131</v>
      </c>
      <c r="C54" s="14" t="s">
        <v>132</v>
      </c>
      <c r="D54" s="17" t="s">
        <v>9</v>
      </c>
      <c r="E54" s="16" t="s">
        <v>22</v>
      </c>
      <c r="F54" s="13">
        <v>20</v>
      </c>
      <c r="G54" s="14" t="s">
        <v>133</v>
      </c>
      <c r="H54" s="14" t="s">
        <v>4</v>
      </c>
      <c r="I54" s="14"/>
    </row>
    <row x14ac:dyDescent="0.25" r="55" customHeight="1" ht="18.75">
      <c r="A55" s="13">
        <v>54</v>
      </c>
      <c r="B55" s="14" t="s">
        <v>131</v>
      </c>
      <c r="C55" s="14" t="s">
        <v>134</v>
      </c>
      <c r="D55" s="15" t="s">
        <v>8</v>
      </c>
      <c r="E55" s="16" t="s">
        <v>22</v>
      </c>
      <c r="F55" s="13">
        <v>15</v>
      </c>
      <c r="G55" s="14" t="s">
        <v>135</v>
      </c>
      <c r="H55" s="14" t="s">
        <v>4</v>
      </c>
      <c r="I55" s="14"/>
    </row>
    <row x14ac:dyDescent="0.25" r="56" customHeight="1" ht="18.75">
      <c r="A56" s="13">
        <v>55</v>
      </c>
      <c r="B56" s="14" t="s">
        <v>131</v>
      </c>
      <c r="C56" s="14" t="s">
        <v>136</v>
      </c>
      <c r="D56" s="15" t="s">
        <v>8</v>
      </c>
      <c r="E56" s="16" t="s">
        <v>22</v>
      </c>
      <c r="F56" s="13">
        <v>15</v>
      </c>
      <c r="G56" s="14" t="s">
        <v>137</v>
      </c>
      <c r="H56" s="14" t="s">
        <v>4</v>
      </c>
      <c r="I56" s="14"/>
    </row>
    <row x14ac:dyDescent="0.25" r="57" customHeight="1" ht="18.75">
      <c r="A57" s="13">
        <v>56</v>
      </c>
      <c r="B57" s="14" t="s">
        <v>131</v>
      </c>
      <c r="C57" s="14" t="s">
        <v>138</v>
      </c>
      <c r="D57" s="17" t="s">
        <v>9</v>
      </c>
      <c r="E57" s="16" t="s">
        <v>22</v>
      </c>
      <c r="F57" s="13">
        <v>20</v>
      </c>
      <c r="G57" s="14" t="s">
        <v>139</v>
      </c>
      <c r="H57" s="14" t="s">
        <v>4</v>
      </c>
      <c r="I57" s="14"/>
    </row>
    <row x14ac:dyDescent="0.25" r="58" customHeight="1" ht="18.75">
      <c r="A58" s="13">
        <v>57</v>
      </c>
      <c r="B58" s="14" t="s">
        <v>131</v>
      </c>
      <c r="C58" s="14" t="s">
        <v>140</v>
      </c>
      <c r="D58" s="17" t="s">
        <v>9</v>
      </c>
      <c r="E58" s="16" t="s">
        <v>22</v>
      </c>
      <c r="F58" s="13">
        <v>20</v>
      </c>
      <c r="G58" s="14" t="s">
        <v>141</v>
      </c>
      <c r="H58" s="14" t="s">
        <v>4</v>
      </c>
      <c r="I58" s="14"/>
    </row>
    <row x14ac:dyDescent="0.25" r="59" customHeight="1" ht="18.75">
      <c r="A59" s="13">
        <v>58</v>
      </c>
      <c r="B59" s="14" t="s">
        <v>131</v>
      </c>
      <c r="C59" s="14" t="s">
        <v>142</v>
      </c>
      <c r="D59" s="15" t="s">
        <v>8</v>
      </c>
      <c r="E59" s="16" t="s">
        <v>22</v>
      </c>
      <c r="F59" s="13">
        <v>15</v>
      </c>
      <c r="G59" s="14" t="s">
        <v>143</v>
      </c>
      <c r="H59" s="14" t="s">
        <v>4</v>
      </c>
      <c r="I59" s="14"/>
    </row>
    <row x14ac:dyDescent="0.25" r="60" customHeight="1" ht="18.75">
      <c r="A60" s="13">
        <v>59</v>
      </c>
      <c r="B60" s="14" t="s">
        <v>131</v>
      </c>
      <c r="C60" s="14" t="s">
        <v>144</v>
      </c>
      <c r="D60" s="17" t="s">
        <v>9</v>
      </c>
      <c r="E60" s="16" t="s">
        <v>22</v>
      </c>
      <c r="F60" s="13">
        <v>20</v>
      </c>
      <c r="G60" s="14" t="s">
        <v>145</v>
      </c>
      <c r="H60" s="14" t="s">
        <v>4</v>
      </c>
      <c r="I60" s="14"/>
    </row>
    <row x14ac:dyDescent="0.25" r="61" customHeight="1" ht="18.75">
      <c r="A61" s="13">
        <v>60</v>
      </c>
      <c r="B61" s="14" t="s">
        <v>131</v>
      </c>
      <c r="C61" s="14" t="s">
        <v>146</v>
      </c>
      <c r="D61" s="17" t="s">
        <v>9</v>
      </c>
      <c r="E61" s="16" t="s">
        <v>22</v>
      </c>
      <c r="F61" s="13">
        <v>20</v>
      </c>
      <c r="G61" s="14" t="s">
        <v>147</v>
      </c>
      <c r="H61" s="14" t="s">
        <v>4</v>
      </c>
      <c r="I61" s="14"/>
    </row>
    <row x14ac:dyDescent="0.25" r="62" customHeight="1" ht="18.75">
      <c r="A62" s="13">
        <v>61</v>
      </c>
      <c r="B62" s="14" t="s">
        <v>148</v>
      </c>
      <c r="C62" s="14" t="s">
        <v>148</v>
      </c>
      <c r="D62" s="15" t="s">
        <v>8</v>
      </c>
      <c r="E62" s="16" t="s">
        <v>22</v>
      </c>
      <c r="F62" s="13">
        <v>10</v>
      </c>
      <c r="G62" s="14" t="s">
        <v>149</v>
      </c>
      <c r="H62" s="14" t="s">
        <v>4</v>
      </c>
      <c r="I62" s="14"/>
    </row>
    <row x14ac:dyDescent="0.25" r="63" customHeight="1" ht="18.75">
      <c r="A63" s="13">
        <v>62</v>
      </c>
      <c r="B63" s="14" t="s">
        <v>148</v>
      </c>
      <c r="C63" s="14" t="s">
        <v>150</v>
      </c>
      <c r="D63" s="15" t="s">
        <v>8</v>
      </c>
      <c r="E63" s="16" t="s">
        <v>22</v>
      </c>
      <c r="F63" s="13">
        <v>10</v>
      </c>
      <c r="G63" s="14" t="s">
        <v>151</v>
      </c>
      <c r="H63" s="14" t="s">
        <v>4</v>
      </c>
      <c r="I63" s="14"/>
    </row>
    <row x14ac:dyDescent="0.25" r="64" customHeight="1" ht="18.75">
      <c r="A64" s="13">
        <v>63</v>
      </c>
      <c r="B64" s="14" t="s">
        <v>148</v>
      </c>
      <c r="C64" s="14" t="s">
        <v>152</v>
      </c>
      <c r="D64" s="15" t="s">
        <v>8</v>
      </c>
      <c r="E64" s="16" t="s">
        <v>22</v>
      </c>
      <c r="F64" s="13">
        <v>15</v>
      </c>
      <c r="G64" s="14" t="s">
        <v>153</v>
      </c>
      <c r="H64" s="14" t="s">
        <v>4</v>
      </c>
      <c r="I64" s="14"/>
    </row>
    <row x14ac:dyDescent="0.25" r="65" customHeight="1" ht="18.75">
      <c r="A65" s="13">
        <v>64</v>
      </c>
      <c r="B65" s="14" t="s">
        <v>148</v>
      </c>
      <c r="C65" s="14" t="s">
        <v>154</v>
      </c>
      <c r="D65" s="17" t="s">
        <v>9</v>
      </c>
      <c r="E65" s="16" t="s">
        <v>22</v>
      </c>
      <c r="F65" s="13">
        <v>20</v>
      </c>
      <c r="G65" s="14" t="s">
        <v>155</v>
      </c>
      <c r="H65" s="14" t="s">
        <v>4</v>
      </c>
      <c r="I65" s="14"/>
    </row>
    <row x14ac:dyDescent="0.25" r="66" customHeight="1" ht="18.75">
      <c r="A66" s="13">
        <v>65</v>
      </c>
      <c r="B66" s="14" t="s">
        <v>148</v>
      </c>
      <c r="C66" s="14" t="s">
        <v>156</v>
      </c>
      <c r="D66" s="17" t="s">
        <v>9</v>
      </c>
      <c r="E66" s="16" t="s">
        <v>22</v>
      </c>
      <c r="F66" s="13">
        <v>25</v>
      </c>
      <c r="G66" s="14" t="s">
        <v>157</v>
      </c>
      <c r="H66" s="14" t="s">
        <v>4</v>
      </c>
      <c r="I66" s="14"/>
    </row>
    <row x14ac:dyDescent="0.25" r="67" customHeight="1" ht="18.75">
      <c r="A67" s="13">
        <v>66</v>
      </c>
      <c r="B67" s="14" t="s">
        <v>148</v>
      </c>
      <c r="C67" s="14" t="s">
        <v>158</v>
      </c>
      <c r="D67" s="17" t="s">
        <v>9</v>
      </c>
      <c r="E67" s="16" t="s">
        <v>22</v>
      </c>
      <c r="F67" s="13">
        <v>20</v>
      </c>
      <c r="G67" s="14" t="s">
        <v>159</v>
      </c>
      <c r="H67" s="14" t="s">
        <v>4</v>
      </c>
      <c r="I67" s="14"/>
    </row>
    <row x14ac:dyDescent="0.25" r="68" customHeight="1" ht="18.75">
      <c r="A68" s="13">
        <v>67</v>
      </c>
      <c r="B68" s="14" t="s">
        <v>148</v>
      </c>
      <c r="C68" s="14" t="s">
        <v>160</v>
      </c>
      <c r="D68" s="17" t="s">
        <v>9</v>
      </c>
      <c r="E68" s="16" t="s">
        <v>22</v>
      </c>
      <c r="F68" s="13">
        <v>20</v>
      </c>
      <c r="G68" s="14" t="s">
        <v>161</v>
      </c>
      <c r="H68" s="14" t="s">
        <v>4</v>
      </c>
      <c r="I68" s="14"/>
    </row>
    <row x14ac:dyDescent="0.25" r="69" customHeight="1" ht="18.75">
      <c r="A69" s="13">
        <v>68</v>
      </c>
      <c r="B69" s="14" t="s">
        <v>148</v>
      </c>
      <c r="C69" s="14" t="s">
        <v>162</v>
      </c>
      <c r="D69" s="17" t="s">
        <v>9</v>
      </c>
      <c r="E69" s="16" t="s">
        <v>22</v>
      </c>
      <c r="F69" s="13">
        <v>25</v>
      </c>
      <c r="G69" s="14" t="s">
        <v>163</v>
      </c>
      <c r="H69" s="14" t="s">
        <v>4</v>
      </c>
      <c r="I69" s="14"/>
    </row>
    <row x14ac:dyDescent="0.25" r="70" customHeight="1" ht="18.75">
      <c r="A70" s="13">
        <v>69</v>
      </c>
      <c r="B70" s="14" t="s">
        <v>164</v>
      </c>
      <c r="C70" s="14" t="s">
        <v>165</v>
      </c>
      <c r="D70" s="15" t="s">
        <v>8</v>
      </c>
      <c r="E70" s="16" t="s">
        <v>22</v>
      </c>
      <c r="F70" s="13">
        <v>10</v>
      </c>
      <c r="G70" s="14" t="s">
        <v>166</v>
      </c>
      <c r="H70" s="14" t="s">
        <v>4</v>
      </c>
      <c r="I70" s="14"/>
    </row>
    <row x14ac:dyDescent="0.25" r="71" customHeight="1" ht="18.75">
      <c r="A71" s="13">
        <v>70</v>
      </c>
      <c r="B71" s="14" t="s">
        <v>164</v>
      </c>
      <c r="C71" s="14" t="s">
        <v>167</v>
      </c>
      <c r="D71" s="15" t="s">
        <v>8</v>
      </c>
      <c r="E71" s="16" t="s">
        <v>22</v>
      </c>
      <c r="F71" s="13">
        <v>10</v>
      </c>
      <c r="G71" s="14" t="s">
        <v>168</v>
      </c>
      <c r="H71" s="14" t="s">
        <v>4</v>
      </c>
      <c r="I71" s="14"/>
    </row>
    <row x14ac:dyDescent="0.25" r="72" customHeight="1" ht="18.75">
      <c r="A72" s="13">
        <v>71</v>
      </c>
      <c r="B72" s="14" t="s">
        <v>164</v>
      </c>
      <c r="C72" s="14" t="s">
        <v>169</v>
      </c>
      <c r="D72" s="15" t="s">
        <v>8</v>
      </c>
      <c r="E72" s="16" t="s">
        <v>22</v>
      </c>
      <c r="F72" s="13">
        <v>10</v>
      </c>
      <c r="G72" s="14" t="s">
        <v>170</v>
      </c>
      <c r="H72" s="14" t="s">
        <v>4</v>
      </c>
      <c r="I72" s="14"/>
    </row>
    <row x14ac:dyDescent="0.25" r="73" customHeight="1" ht="18.75">
      <c r="A73" s="13">
        <v>72</v>
      </c>
      <c r="B73" s="14" t="s">
        <v>164</v>
      </c>
      <c r="C73" s="14" t="s">
        <v>171</v>
      </c>
      <c r="D73" s="15" t="s">
        <v>8</v>
      </c>
      <c r="E73" s="16" t="s">
        <v>22</v>
      </c>
      <c r="F73" s="13">
        <v>15</v>
      </c>
      <c r="G73" s="14" t="s">
        <v>172</v>
      </c>
      <c r="H73" s="14" t="s">
        <v>4</v>
      </c>
      <c r="I73" s="14"/>
    </row>
    <row x14ac:dyDescent="0.25" r="74" customHeight="1" ht="18.75">
      <c r="A74" s="13">
        <v>73</v>
      </c>
      <c r="B74" s="14" t="s">
        <v>164</v>
      </c>
      <c r="C74" s="14" t="s">
        <v>173</v>
      </c>
      <c r="D74" s="17" t="s">
        <v>9</v>
      </c>
      <c r="E74" s="16" t="s">
        <v>22</v>
      </c>
      <c r="F74" s="13">
        <v>20</v>
      </c>
      <c r="G74" s="14" t="s">
        <v>174</v>
      </c>
      <c r="H74" s="14" t="s">
        <v>4</v>
      </c>
      <c r="I74" s="14"/>
    </row>
    <row x14ac:dyDescent="0.25" r="75" customHeight="1" ht="18.75">
      <c r="A75" s="13">
        <v>74</v>
      </c>
      <c r="B75" s="14" t="s">
        <v>164</v>
      </c>
      <c r="C75" s="14" t="s">
        <v>175</v>
      </c>
      <c r="D75" s="15" t="s">
        <v>8</v>
      </c>
      <c r="E75" s="16" t="s">
        <v>22</v>
      </c>
      <c r="F75" s="13">
        <v>15</v>
      </c>
      <c r="G75" s="14" t="s">
        <v>176</v>
      </c>
      <c r="H75" s="14" t="s">
        <v>4</v>
      </c>
      <c r="I75" s="14"/>
    </row>
    <row x14ac:dyDescent="0.25" r="76" customHeight="1" ht="18.75">
      <c r="A76" s="13">
        <v>75</v>
      </c>
      <c r="B76" s="14" t="s">
        <v>164</v>
      </c>
      <c r="C76" s="14" t="s">
        <v>177</v>
      </c>
      <c r="D76" s="15" t="s">
        <v>8</v>
      </c>
      <c r="E76" s="16" t="s">
        <v>22</v>
      </c>
      <c r="F76" s="13">
        <v>20</v>
      </c>
      <c r="G76" s="14" t="s">
        <v>178</v>
      </c>
      <c r="H76" s="14" t="s">
        <v>4</v>
      </c>
      <c r="I76" s="14"/>
    </row>
    <row x14ac:dyDescent="0.25" r="77" customHeight="1" ht="18.75">
      <c r="A77" s="13">
        <v>76</v>
      </c>
      <c r="B77" s="14" t="s">
        <v>164</v>
      </c>
      <c r="C77" s="14" t="s">
        <v>179</v>
      </c>
      <c r="D77" s="15" t="s">
        <v>8</v>
      </c>
      <c r="E77" s="16" t="s">
        <v>22</v>
      </c>
      <c r="F77" s="13">
        <v>15</v>
      </c>
      <c r="G77" s="14" t="s">
        <v>180</v>
      </c>
      <c r="H77" s="14" t="s">
        <v>4</v>
      </c>
      <c r="I77" s="14"/>
    </row>
    <row x14ac:dyDescent="0.25" r="78" customHeight="1" ht="18.75">
      <c r="A78" s="13">
        <v>77</v>
      </c>
      <c r="B78" s="14" t="s">
        <v>164</v>
      </c>
      <c r="C78" s="14" t="s">
        <v>181</v>
      </c>
      <c r="D78" s="17" t="s">
        <v>9</v>
      </c>
      <c r="E78" s="16" t="s">
        <v>22</v>
      </c>
      <c r="F78" s="13">
        <v>15</v>
      </c>
      <c r="G78" s="14" t="s">
        <v>182</v>
      </c>
      <c r="H78" s="14" t="s">
        <v>4</v>
      </c>
      <c r="I78" s="14"/>
    </row>
    <row x14ac:dyDescent="0.25" r="79" customHeight="1" ht="18.75">
      <c r="A79" s="13">
        <v>78</v>
      </c>
      <c r="B79" s="14" t="s">
        <v>164</v>
      </c>
      <c r="C79" s="14" t="s">
        <v>183</v>
      </c>
      <c r="D79" s="17" t="s">
        <v>9</v>
      </c>
      <c r="E79" s="16" t="s">
        <v>22</v>
      </c>
      <c r="F79" s="13">
        <v>20</v>
      </c>
      <c r="G79" s="14" t="s">
        <v>184</v>
      </c>
      <c r="H79" s="14" t="s">
        <v>4</v>
      </c>
      <c r="I79" s="14"/>
    </row>
    <row x14ac:dyDescent="0.25" r="80" customHeight="1" ht="18.75">
      <c r="A80" s="13">
        <v>79</v>
      </c>
      <c r="B80" s="14" t="s">
        <v>164</v>
      </c>
      <c r="C80" s="14" t="s">
        <v>185</v>
      </c>
      <c r="D80" s="17" t="s">
        <v>9</v>
      </c>
      <c r="E80" s="16" t="s">
        <v>22</v>
      </c>
      <c r="F80" s="13">
        <v>20</v>
      </c>
      <c r="G80" s="14" t="s">
        <v>186</v>
      </c>
      <c r="H80" s="14" t="s">
        <v>4</v>
      </c>
      <c r="I80" s="14"/>
    </row>
    <row x14ac:dyDescent="0.25" r="81" customHeight="1" ht="18.75">
      <c r="A81" s="13">
        <v>80</v>
      </c>
      <c r="B81" s="14" t="s">
        <v>164</v>
      </c>
      <c r="C81" s="14" t="s">
        <v>187</v>
      </c>
      <c r="D81" s="17" t="s">
        <v>9</v>
      </c>
      <c r="E81" s="16" t="s">
        <v>22</v>
      </c>
      <c r="F81" s="13">
        <v>20</v>
      </c>
      <c r="G81" s="14" t="s">
        <v>188</v>
      </c>
      <c r="H81" s="14" t="s">
        <v>4</v>
      </c>
      <c r="I81" s="14"/>
    </row>
    <row x14ac:dyDescent="0.25" r="82" customHeight="1" ht="18.75">
      <c r="A82" s="13">
        <v>81</v>
      </c>
      <c r="B82" s="14" t="s">
        <v>189</v>
      </c>
      <c r="C82" s="14" t="s">
        <v>190</v>
      </c>
      <c r="D82" s="17" t="s">
        <v>9</v>
      </c>
      <c r="E82" s="16" t="s">
        <v>22</v>
      </c>
      <c r="F82" s="13">
        <v>25</v>
      </c>
      <c r="G82" s="14" t="s">
        <v>191</v>
      </c>
      <c r="H82" s="14" t="s">
        <v>4</v>
      </c>
      <c r="I82" s="14"/>
    </row>
    <row x14ac:dyDescent="0.25" r="83" customHeight="1" ht="18.75">
      <c r="A83" s="13">
        <v>82</v>
      </c>
      <c r="B83" s="14" t="s">
        <v>189</v>
      </c>
      <c r="C83" s="14" t="s">
        <v>192</v>
      </c>
      <c r="D83" s="15" t="s">
        <v>8</v>
      </c>
      <c r="E83" s="16" t="s">
        <v>22</v>
      </c>
      <c r="F83" s="13">
        <v>15</v>
      </c>
      <c r="G83" s="14" t="s">
        <v>193</v>
      </c>
      <c r="H83" s="14" t="s">
        <v>4</v>
      </c>
      <c r="I83" s="14"/>
    </row>
    <row x14ac:dyDescent="0.25" r="84" customHeight="1" ht="18.75">
      <c r="A84" s="13">
        <v>83</v>
      </c>
      <c r="B84" s="14" t="s">
        <v>189</v>
      </c>
      <c r="C84" s="14" t="s">
        <v>194</v>
      </c>
      <c r="D84" s="17" t="s">
        <v>9</v>
      </c>
      <c r="E84" s="16" t="s">
        <v>22</v>
      </c>
      <c r="F84" s="13">
        <v>20</v>
      </c>
      <c r="G84" s="14" t="s">
        <v>195</v>
      </c>
      <c r="H84" s="14" t="s">
        <v>4</v>
      </c>
      <c r="I84" s="14"/>
    </row>
    <row x14ac:dyDescent="0.25" r="85" customHeight="1" ht="18.75">
      <c r="A85" s="13">
        <v>84</v>
      </c>
      <c r="B85" s="14" t="s">
        <v>189</v>
      </c>
      <c r="C85" s="14" t="s">
        <v>196</v>
      </c>
      <c r="D85" s="17" t="s">
        <v>9</v>
      </c>
      <c r="E85" s="16" t="s">
        <v>22</v>
      </c>
      <c r="F85" s="13">
        <v>20</v>
      </c>
      <c r="G85" s="14" t="s">
        <v>197</v>
      </c>
      <c r="H85" s="14" t="s">
        <v>4</v>
      </c>
      <c r="I85" s="14"/>
    </row>
    <row x14ac:dyDescent="0.25" r="86" customHeight="1" ht="18.75">
      <c r="A86" s="13">
        <v>85</v>
      </c>
      <c r="B86" s="14" t="s">
        <v>189</v>
      </c>
      <c r="C86" s="14" t="s">
        <v>198</v>
      </c>
      <c r="D86" s="17" t="s">
        <v>9</v>
      </c>
      <c r="E86" s="16" t="s">
        <v>22</v>
      </c>
      <c r="F86" s="13">
        <v>25</v>
      </c>
      <c r="G86" s="14" t="s">
        <v>199</v>
      </c>
      <c r="H86" s="14" t="s">
        <v>4</v>
      </c>
      <c r="I86" s="14"/>
    </row>
    <row x14ac:dyDescent="0.25" r="87" customHeight="1" ht="18.75">
      <c r="A87" s="13">
        <v>86</v>
      </c>
      <c r="B87" s="14" t="s">
        <v>189</v>
      </c>
      <c r="C87" s="14" t="s">
        <v>200</v>
      </c>
      <c r="D87" s="17" t="s">
        <v>9</v>
      </c>
      <c r="E87" s="16" t="s">
        <v>22</v>
      </c>
      <c r="F87" s="13">
        <v>20</v>
      </c>
      <c r="G87" s="14" t="s">
        <v>201</v>
      </c>
      <c r="H87" s="14" t="s">
        <v>4</v>
      </c>
      <c r="I87" s="14"/>
    </row>
    <row x14ac:dyDescent="0.25" r="88" customHeight="1" ht="18.75">
      <c r="A88" s="13">
        <v>87</v>
      </c>
      <c r="B88" s="14" t="s">
        <v>189</v>
      </c>
      <c r="C88" s="14" t="s">
        <v>202</v>
      </c>
      <c r="D88" s="17" t="s">
        <v>9</v>
      </c>
      <c r="E88" s="16" t="s">
        <v>22</v>
      </c>
      <c r="F88" s="13">
        <v>25</v>
      </c>
      <c r="G88" s="14" t="s">
        <v>203</v>
      </c>
      <c r="H88" s="14" t="s">
        <v>4</v>
      </c>
      <c r="I88" s="14"/>
    </row>
    <row x14ac:dyDescent="0.25" r="89" customHeight="1" ht="18.75">
      <c r="A89" s="13">
        <v>88</v>
      </c>
      <c r="B89" s="14" t="s">
        <v>189</v>
      </c>
      <c r="C89" s="14" t="s">
        <v>204</v>
      </c>
      <c r="D89" s="17" t="s">
        <v>9</v>
      </c>
      <c r="E89" s="16" t="s">
        <v>22</v>
      </c>
      <c r="F89" s="13">
        <v>25</v>
      </c>
      <c r="G89" s="14" t="s">
        <v>205</v>
      </c>
      <c r="H89" s="14" t="s">
        <v>4</v>
      </c>
      <c r="I89" s="14"/>
    </row>
    <row x14ac:dyDescent="0.25" r="90" customHeight="1" ht="18.75">
      <c r="A90" s="13">
        <v>89</v>
      </c>
      <c r="B90" s="14" t="s">
        <v>189</v>
      </c>
      <c r="C90" s="14" t="s">
        <v>206</v>
      </c>
      <c r="D90" s="17" t="s">
        <v>9</v>
      </c>
      <c r="E90" s="16" t="s">
        <v>22</v>
      </c>
      <c r="F90" s="13">
        <v>25</v>
      </c>
      <c r="G90" s="14" t="s">
        <v>207</v>
      </c>
      <c r="H90" s="14" t="s">
        <v>4</v>
      </c>
      <c r="I90" s="14"/>
    </row>
    <row x14ac:dyDescent="0.25" r="91" customHeight="1" ht="18.75">
      <c r="A91" s="13">
        <v>90</v>
      </c>
      <c r="B91" s="14" t="s">
        <v>189</v>
      </c>
      <c r="C91" s="14" t="s">
        <v>208</v>
      </c>
      <c r="D91" s="17" t="s">
        <v>9</v>
      </c>
      <c r="E91" s="16" t="s">
        <v>22</v>
      </c>
      <c r="F91" s="13">
        <v>20</v>
      </c>
      <c r="G91" s="14" t="s">
        <v>209</v>
      </c>
      <c r="H91" s="14" t="s">
        <v>4</v>
      </c>
      <c r="I91" s="14"/>
    </row>
    <row x14ac:dyDescent="0.25" r="92" customHeight="1" ht="18.75">
      <c r="A92" s="13">
        <v>91</v>
      </c>
      <c r="B92" s="14" t="s">
        <v>210</v>
      </c>
      <c r="C92" s="14" t="s">
        <v>211</v>
      </c>
      <c r="D92" s="17" t="s">
        <v>9</v>
      </c>
      <c r="E92" s="16" t="s">
        <v>22</v>
      </c>
      <c r="F92" s="13">
        <v>20</v>
      </c>
      <c r="G92" s="14" t="s">
        <v>212</v>
      </c>
      <c r="H92" s="14" t="s">
        <v>4</v>
      </c>
      <c r="I92" s="14"/>
    </row>
    <row x14ac:dyDescent="0.25" r="93" customHeight="1" ht="18.75">
      <c r="A93" s="13">
        <v>92</v>
      </c>
      <c r="B93" s="14" t="s">
        <v>210</v>
      </c>
      <c r="C93" s="14" t="s">
        <v>213</v>
      </c>
      <c r="D93" s="17" t="s">
        <v>9</v>
      </c>
      <c r="E93" s="16" t="s">
        <v>22</v>
      </c>
      <c r="F93" s="13">
        <v>20</v>
      </c>
      <c r="G93" s="14" t="s">
        <v>214</v>
      </c>
      <c r="H93" s="14" t="s">
        <v>4</v>
      </c>
      <c r="I93" s="14"/>
    </row>
    <row x14ac:dyDescent="0.25" r="94" customHeight="1" ht="18.75">
      <c r="A94" s="13">
        <v>93</v>
      </c>
      <c r="B94" s="14" t="s">
        <v>210</v>
      </c>
      <c r="C94" s="14" t="s">
        <v>215</v>
      </c>
      <c r="D94" s="17" t="s">
        <v>9</v>
      </c>
      <c r="E94" s="16" t="s">
        <v>22</v>
      </c>
      <c r="F94" s="13">
        <v>20</v>
      </c>
      <c r="G94" s="14" t="s">
        <v>216</v>
      </c>
      <c r="H94" s="14" t="s">
        <v>4</v>
      </c>
      <c r="I94" s="14"/>
    </row>
    <row x14ac:dyDescent="0.25" r="95" customHeight="1" ht="18.75">
      <c r="A95" s="13">
        <v>94</v>
      </c>
      <c r="B95" s="14" t="s">
        <v>210</v>
      </c>
      <c r="C95" s="14" t="s">
        <v>217</v>
      </c>
      <c r="D95" s="17" t="s">
        <v>9</v>
      </c>
      <c r="E95" s="16" t="s">
        <v>22</v>
      </c>
      <c r="F95" s="13">
        <v>25</v>
      </c>
      <c r="G95" s="14" t="s">
        <v>218</v>
      </c>
      <c r="H95" s="14" t="s">
        <v>4</v>
      </c>
      <c r="I95" s="14"/>
    </row>
    <row x14ac:dyDescent="0.25" r="96" customHeight="1" ht="18.75">
      <c r="A96" s="13">
        <v>95</v>
      </c>
      <c r="B96" s="14" t="s">
        <v>210</v>
      </c>
      <c r="C96" s="14" t="s">
        <v>219</v>
      </c>
      <c r="D96" s="17" t="s">
        <v>9</v>
      </c>
      <c r="E96" s="16" t="s">
        <v>22</v>
      </c>
      <c r="F96" s="13">
        <v>20</v>
      </c>
      <c r="G96" s="14" t="s">
        <v>220</v>
      </c>
      <c r="H96" s="14" t="s">
        <v>4</v>
      </c>
      <c r="I96" s="14"/>
    </row>
    <row x14ac:dyDescent="0.25" r="97" customHeight="1" ht="18.75">
      <c r="A97" s="13">
        <v>96</v>
      </c>
      <c r="B97" s="14" t="s">
        <v>210</v>
      </c>
      <c r="C97" s="14" t="s">
        <v>221</v>
      </c>
      <c r="D97" s="17" t="s">
        <v>9</v>
      </c>
      <c r="E97" s="16" t="s">
        <v>22</v>
      </c>
      <c r="F97" s="13">
        <v>20</v>
      </c>
      <c r="G97" s="14" t="s">
        <v>222</v>
      </c>
      <c r="H97" s="14" t="s">
        <v>4</v>
      </c>
      <c r="I97" s="14"/>
    </row>
    <row x14ac:dyDescent="0.25" r="98" customHeight="1" ht="18.75">
      <c r="A98" s="13">
        <v>97</v>
      </c>
      <c r="B98" s="14" t="s">
        <v>210</v>
      </c>
      <c r="C98" s="14" t="s">
        <v>223</v>
      </c>
      <c r="D98" s="17" t="s">
        <v>9</v>
      </c>
      <c r="E98" s="16" t="s">
        <v>22</v>
      </c>
      <c r="F98" s="13">
        <v>25</v>
      </c>
      <c r="G98" s="14" t="s">
        <v>224</v>
      </c>
      <c r="H98" s="14" t="s">
        <v>4</v>
      </c>
      <c r="I98" s="14"/>
    </row>
    <row x14ac:dyDescent="0.25" r="99" customHeight="1" ht="18.75">
      <c r="A99" s="13">
        <v>98</v>
      </c>
      <c r="B99" s="14" t="s">
        <v>210</v>
      </c>
      <c r="C99" s="14" t="s">
        <v>225</v>
      </c>
      <c r="D99" s="18" t="s">
        <v>10</v>
      </c>
      <c r="E99" s="16" t="s">
        <v>22</v>
      </c>
      <c r="F99" s="13">
        <v>30</v>
      </c>
      <c r="G99" s="14" t="s">
        <v>226</v>
      </c>
      <c r="H99" s="14" t="s">
        <v>4</v>
      </c>
      <c r="I99" s="14"/>
    </row>
    <row x14ac:dyDescent="0.25" r="100" customHeight="1" ht="18.75">
      <c r="A100" s="13">
        <v>99</v>
      </c>
      <c r="B100" s="14" t="s">
        <v>227</v>
      </c>
      <c r="C100" s="14" t="s">
        <v>228</v>
      </c>
      <c r="D100" s="15" t="s">
        <v>8</v>
      </c>
      <c r="E100" s="16" t="s">
        <v>22</v>
      </c>
      <c r="F100" s="13">
        <v>15</v>
      </c>
      <c r="G100" s="14" t="s">
        <v>229</v>
      </c>
      <c r="H100" s="14" t="s">
        <v>4</v>
      </c>
      <c r="I100" s="14"/>
    </row>
    <row x14ac:dyDescent="0.25" r="101" customHeight="1" ht="18.75">
      <c r="A101" s="13">
        <v>100</v>
      </c>
      <c r="B101" s="14" t="s">
        <v>227</v>
      </c>
      <c r="C101" s="14" t="s">
        <v>230</v>
      </c>
      <c r="D101" s="17" t="s">
        <v>9</v>
      </c>
      <c r="E101" s="16" t="s">
        <v>22</v>
      </c>
      <c r="F101" s="13">
        <v>20</v>
      </c>
      <c r="G101" s="14" t="s">
        <v>231</v>
      </c>
      <c r="H101" s="14" t="s">
        <v>4</v>
      </c>
      <c r="I101" s="14"/>
    </row>
    <row x14ac:dyDescent="0.25" r="102" customHeight="1" ht="18.75">
      <c r="A102" s="13">
        <v>101</v>
      </c>
      <c r="B102" s="14" t="s">
        <v>227</v>
      </c>
      <c r="C102" s="14" t="s">
        <v>232</v>
      </c>
      <c r="D102" s="17" t="s">
        <v>9</v>
      </c>
      <c r="E102" s="16" t="s">
        <v>22</v>
      </c>
      <c r="F102" s="13">
        <v>20</v>
      </c>
      <c r="G102" s="14" t="s">
        <v>233</v>
      </c>
      <c r="H102" s="14" t="s">
        <v>4</v>
      </c>
      <c r="I102" s="14"/>
    </row>
    <row x14ac:dyDescent="0.25" r="103" customHeight="1" ht="18.75">
      <c r="A103" s="13">
        <v>102</v>
      </c>
      <c r="B103" s="14" t="s">
        <v>227</v>
      </c>
      <c r="C103" s="14" t="s">
        <v>234</v>
      </c>
      <c r="D103" s="17" t="s">
        <v>9</v>
      </c>
      <c r="E103" s="16" t="s">
        <v>22</v>
      </c>
      <c r="F103" s="13">
        <v>25</v>
      </c>
      <c r="G103" s="14" t="s">
        <v>235</v>
      </c>
      <c r="H103" s="14" t="s">
        <v>4</v>
      </c>
      <c r="I103" s="14"/>
    </row>
    <row x14ac:dyDescent="0.25" r="104" customHeight="1" ht="18.75">
      <c r="A104" s="13">
        <v>103</v>
      </c>
      <c r="B104" s="14" t="s">
        <v>227</v>
      </c>
      <c r="C104" s="14" t="s">
        <v>236</v>
      </c>
      <c r="D104" s="17" t="s">
        <v>9</v>
      </c>
      <c r="E104" s="16" t="s">
        <v>22</v>
      </c>
      <c r="F104" s="13">
        <v>20</v>
      </c>
      <c r="G104" s="14" t="s">
        <v>237</v>
      </c>
      <c r="H104" s="14" t="s">
        <v>4</v>
      </c>
      <c r="I104" s="14"/>
    </row>
    <row x14ac:dyDescent="0.25" r="105" customHeight="1" ht="18.75">
      <c r="A105" s="13">
        <v>104</v>
      </c>
      <c r="B105" s="14" t="s">
        <v>227</v>
      </c>
      <c r="C105" s="14" t="s">
        <v>238</v>
      </c>
      <c r="D105" s="17" t="s">
        <v>9</v>
      </c>
      <c r="E105" s="16" t="s">
        <v>22</v>
      </c>
      <c r="F105" s="13">
        <v>20</v>
      </c>
      <c r="G105" s="14" t="s">
        <v>239</v>
      </c>
      <c r="H105" s="14" t="s">
        <v>4</v>
      </c>
      <c r="I105" s="14"/>
    </row>
    <row x14ac:dyDescent="0.25" r="106" customHeight="1" ht="18.75">
      <c r="A106" s="13">
        <v>105</v>
      </c>
      <c r="B106" s="14" t="s">
        <v>227</v>
      </c>
      <c r="C106" s="14" t="s">
        <v>240</v>
      </c>
      <c r="D106" s="17" t="s">
        <v>9</v>
      </c>
      <c r="E106" s="16" t="s">
        <v>22</v>
      </c>
      <c r="F106" s="13">
        <v>20</v>
      </c>
      <c r="G106" s="14" t="s">
        <v>241</v>
      </c>
      <c r="H106" s="14" t="s">
        <v>4</v>
      </c>
      <c r="I106" s="14"/>
    </row>
    <row x14ac:dyDescent="0.25" r="107" customHeight="1" ht="18.75">
      <c r="A107" s="13">
        <v>106</v>
      </c>
      <c r="B107" s="14" t="s">
        <v>227</v>
      </c>
      <c r="C107" s="14" t="s">
        <v>242</v>
      </c>
      <c r="D107" s="17" t="s">
        <v>9</v>
      </c>
      <c r="E107" s="16" t="s">
        <v>22</v>
      </c>
      <c r="F107" s="13">
        <v>20</v>
      </c>
      <c r="G107" s="14" t="s">
        <v>243</v>
      </c>
      <c r="H107" s="14" t="s">
        <v>4</v>
      </c>
      <c r="I107" s="14"/>
    </row>
    <row x14ac:dyDescent="0.25" r="108" customHeight="1" ht="18.75">
      <c r="A108" s="13">
        <v>107</v>
      </c>
      <c r="B108" s="14" t="s">
        <v>227</v>
      </c>
      <c r="C108" s="14" t="s">
        <v>244</v>
      </c>
      <c r="D108" s="17" t="s">
        <v>9</v>
      </c>
      <c r="E108" s="16" t="s">
        <v>22</v>
      </c>
      <c r="F108" s="13">
        <v>25</v>
      </c>
      <c r="G108" s="14" t="s">
        <v>245</v>
      </c>
      <c r="H108" s="14" t="s">
        <v>4</v>
      </c>
      <c r="I108" s="14"/>
    </row>
    <row x14ac:dyDescent="0.25" r="109" customHeight="1" ht="18.75">
      <c r="A109" s="13">
        <v>108</v>
      </c>
      <c r="B109" s="14" t="s">
        <v>227</v>
      </c>
      <c r="C109" s="14" t="s">
        <v>246</v>
      </c>
      <c r="D109" s="17" t="s">
        <v>9</v>
      </c>
      <c r="E109" s="16" t="s">
        <v>22</v>
      </c>
      <c r="F109" s="13">
        <v>20</v>
      </c>
      <c r="G109" s="14" t="s">
        <v>247</v>
      </c>
      <c r="H109" s="14" t="s">
        <v>4</v>
      </c>
      <c r="I109" s="14"/>
    </row>
    <row x14ac:dyDescent="0.25" r="110" customHeight="1" ht="18.75">
      <c r="A110" s="13">
        <v>109</v>
      </c>
      <c r="B110" s="14" t="s">
        <v>248</v>
      </c>
      <c r="C110" s="14" t="s">
        <v>249</v>
      </c>
      <c r="D110" s="17" t="s">
        <v>9</v>
      </c>
      <c r="E110" s="16" t="s">
        <v>22</v>
      </c>
      <c r="F110" s="13">
        <v>15</v>
      </c>
      <c r="G110" s="14" t="s">
        <v>250</v>
      </c>
      <c r="H110" s="14" t="s">
        <v>4</v>
      </c>
      <c r="I110" s="14"/>
    </row>
    <row x14ac:dyDescent="0.25" r="111" customHeight="1" ht="18.75">
      <c r="A111" s="13">
        <v>110</v>
      </c>
      <c r="B111" s="14" t="s">
        <v>248</v>
      </c>
      <c r="C111" s="14" t="s">
        <v>251</v>
      </c>
      <c r="D111" s="17" t="s">
        <v>9</v>
      </c>
      <c r="E111" s="16" t="s">
        <v>22</v>
      </c>
      <c r="F111" s="13">
        <v>20</v>
      </c>
      <c r="G111" s="14" t="s">
        <v>252</v>
      </c>
      <c r="H111" s="14" t="s">
        <v>4</v>
      </c>
      <c r="I111" s="14"/>
    </row>
    <row x14ac:dyDescent="0.25" r="112" customHeight="1" ht="18.75">
      <c r="A112" s="13">
        <v>111</v>
      </c>
      <c r="B112" s="14" t="s">
        <v>248</v>
      </c>
      <c r="C112" s="14" t="s">
        <v>253</v>
      </c>
      <c r="D112" s="17" t="s">
        <v>9</v>
      </c>
      <c r="E112" s="16" t="s">
        <v>22</v>
      </c>
      <c r="F112" s="13">
        <v>20</v>
      </c>
      <c r="G112" s="14" t="s">
        <v>254</v>
      </c>
      <c r="H112" s="14" t="s">
        <v>4</v>
      </c>
      <c r="I112" s="14"/>
    </row>
    <row x14ac:dyDescent="0.25" r="113" customHeight="1" ht="18.75">
      <c r="A113" s="13">
        <v>112</v>
      </c>
      <c r="B113" s="14" t="s">
        <v>248</v>
      </c>
      <c r="C113" s="14" t="s">
        <v>255</v>
      </c>
      <c r="D113" s="17" t="s">
        <v>9</v>
      </c>
      <c r="E113" s="16" t="s">
        <v>22</v>
      </c>
      <c r="F113" s="13">
        <v>25</v>
      </c>
      <c r="G113" s="14" t="s">
        <v>256</v>
      </c>
      <c r="H113" s="14" t="s">
        <v>4</v>
      </c>
      <c r="I113" s="14"/>
    </row>
    <row x14ac:dyDescent="0.25" r="114" customHeight="1" ht="18.75">
      <c r="A114" s="13">
        <v>113</v>
      </c>
      <c r="B114" s="14" t="s">
        <v>248</v>
      </c>
      <c r="C114" s="14" t="s">
        <v>257</v>
      </c>
      <c r="D114" s="17" t="s">
        <v>9</v>
      </c>
      <c r="E114" s="16" t="s">
        <v>22</v>
      </c>
      <c r="F114" s="13">
        <v>25</v>
      </c>
      <c r="G114" s="14" t="s">
        <v>258</v>
      </c>
      <c r="H114" s="14" t="s">
        <v>4</v>
      </c>
      <c r="I114" s="14"/>
    </row>
    <row x14ac:dyDescent="0.25" r="115" customHeight="1" ht="18.75">
      <c r="A115" s="13">
        <v>114</v>
      </c>
      <c r="B115" s="14" t="s">
        <v>248</v>
      </c>
      <c r="C115" s="14" t="s">
        <v>259</v>
      </c>
      <c r="D115" s="17" t="s">
        <v>9</v>
      </c>
      <c r="E115" s="16" t="s">
        <v>22</v>
      </c>
      <c r="F115" s="13">
        <v>25</v>
      </c>
      <c r="G115" s="14" t="s">
        <v>260</v>
      </c>
      <c r="H115" s="14" t="s">
        <v>4</v>
      </c>
      <c r="I115" s="14"/>
    </row>
    <row x14ac:dyDescent="0.25" r="116" customHeight="1" ht="18.75">
      <c r="A116" s="13">
        <v>115</v>
      </c>
      <c r="B116" s="14" t="s">
        <v>248</v>
      </c>
      <c r="C116" s="14" t="s">
        <v>261</v>
      </c>
      <c r="D116" s="17" t="s">
        <v>9</v>
      </c>
      <c r="E116" s="16" t="s">
        <v>22</v>
      </c>
      <c r="F116" s="13">
        <v>25</v>
      </c>
      <c r="G116" s="14" t="s">
        <v>262</v>
      </c>
      <c r="H116" s="14" t="s">
        <v>4</v>
      </c>
      <c r="I116" s="14"/>
    </row>
    <row x14ac:dyDescent="0.25" r="117" customHeight="1" ht="18.75">
      <c r="A117" s="13">
        <v>116</v>
      </c>
      <c r="B117" s="14" t="s">
        <v>248</v>
      </c>
      <c r="C117" s="14" t="s">
        <v>263</v>
      </c>
      <c r="D117" s="18" t="s">
        <v>10</v>
      </c>
      <c r="E117" s="16" t="s">
        <v>22</v>
      </c>
      <c r="F117" s="13">
        <v>30</v>
      </c>
      <c r="G117" s="14" t="s">
        <v>264</v>
      </c>
      <c r="H117" s="14" t="s">
        <v>4</v>
      </c>
      <c r="I117" s="14"/>
    </row>
    <row x14ac:dyDescent="0.25" r="118" customHeight="1" ht="18.75">
      <c r="A118" s="13">
        <v>117</v>
      </c>
      <c r="B118" s="14" t="s">
        <v>265</v>
      </c>
      <c r="C118" s="14" t="s">
        <v>266</v>
      </c>
      <c r="D118" s="17" t="s">
        <v>9</v>
      </c>
      <c r="E118" s="16" t="s">
        <v>22</v>
      </c>
      <c r="F118" s="13">
        <v>20</v>
      </c>
      <c r="G118" s="14" t="s">
        <v>267</v>
      </c>
      <c r="H118" s="14" t="s">
        <v>4</v>
      </c>
      <c r="I118" s="14"/>
    </row>
    <row x14ac:dyDescent="0.25" r="119" customHeight="1" ht="18.75">
      <c r="A119" s="13">
        <v>118</v>
      </c>
      <c r="B119" s="14" t="s">
        <v>265</v>
      </c>
      <c r="C119" s="14" t="s">
        <v>268</v>
      </c>
      <c r="D119" s="15" t="s">
        <v>8</v>
      </c>
      <c r="E119" s="16" t="s">
        <v>22</v>
      </c>
      <c r="F119" s="13">
        <v>15</v>
      </c>
      <c r="G119" s="14" t="s">
        <v>269</v>
      </c>
      <c r="H119" s="14" t="s">
        <v>4</v>
      </c>
      <c r="I119" s="14"/>
    </row>
    <row x14ac:dyDescent="0.25" r="120" customHeight="1" ht="18.75">
      <c r="A120" s="13">
        <v>119</v>
      </c>
      <c r="B120" s="14" t="s">
        <v>265</v>
      </c>
      <c r="C120" s="14" t="s">
        <v>270</v>
      </c>
      <c r="D120" s="17" t="s">
        <v>9</v>
      </c>
      <c r="E120" s="16" t="s">
        <v>22</v>
      </c>
      <c r="F120" s="13">
        <v>20</v>
      </c>
      <c r="G120" s="14" t="s">
        <v>271</v>
      </c>
      <c r="H120" s="14" t="s">
        <v>4</v>
      </c>
      <c r="I120" s="14"/>
    </row>
    <row x14ac:dyDescent="0.25" r="121" customHeight="1" ht="18.75">
      <c r="A121" s="13">
        <v>120</v>
      </c>
      <c r="B121" s="14" t="s">
        <v>265</v>
      </c>
      <c r="C121" s="14" t="s">
        <v>272</v>
      </c>
      <c r="D121" s="17" t="s">
        <v>9</v>
      </c>
      <c r="E121" s="16" t="s">
        <v>22</v>
      </c>
      <c r="F121" s="13">
        <v>20</v>
      </c>
      <c r="G121" s="14" t="s">
        <v>273</v>
      </c>
      <c r="H121" s="14" t="s">
        <v>4</v>
      </c>
      <c r="I121" s="14"/>
    </row>
    <row x14ac:dyDescent="0.25" r="122" customHeight="1" ht="18.75">
      <c r="A122" s="13">
        <v>121</v>
      </c>
      <c r="B122" s="14" t="s">
        <v>265</v>
      </c>
      <c r="C122" s="14" t="s">
        <v>274</v>
      </c>
      <c r="D122" s="17" t="s">
        <v>9</v>
      </c>
      <c r="E122" s="16" t="s">
        <v>22</v>
      </c>
      <c r="F122" s="13">
        <v>25</v>
      </c>
      <c r="G122" s="14" t="s">
        <v>275</v>
      </c>
      <c r="H122" s="14" t="s">
        <v>4</v>
      </c>
      <c r="I122" s="14"/>
    </row>
    <row x14ac:dyDescent="0.25" r="123" customHeight="1" ht="18.75">
      <c r="A123" s="13">
        <v>122</v>
      </c>
      <c r="B123" s="14" t="s">
        <v>265</v>
      </c>
      <c r="C123" s="14" t="s">
        <v>276</v>
      </c>
      <c r="D123" s="18" t="s">
        <v>10</v>
      </c>
      <c r="E123" s="16" t="s">
        <v>22</v>
      </c>
      <c r="F123" s="13">
        <v>30</v>
      </c>
      <c r="G123" s="14" t="s">
        <v>277</v>
      </c>
      <c r="H123" s="14" t="s">
        <v>4</v>
      </c>
      <c r="I123" s="14"/>
    </row>
    <row x14ac:dyDescent="0.25" r="124" customHeight="1" ht="18.75">
      <c r="A124" s="13">
        <v>123</v>
      </c>
      <c r="B124" s="14" t="s">
        <v>278</v>
      </c>
      <c r="C124" s="14" t="s">
        <v>279</v>
      </c>
      <c r="D124" s="17" t="s">
        <v>9</v>
      </c>
      <c r="E124" s="16" t="s">
        <v>22</v>
      </c>
      <c r="F124" s="13">
        <v>20</v>
      </c>
      <c r="G124" s="14" t="s">
        <v>280</v>
      </c>
      <c r="H124" s="14" t="s">
        <v>4</v>
      </c>
      <c r="I124" s="14"/>
    </row>
    <row x14ac:dyDescent="0.25" r="125" customHeight="1" ht="18.75">
      <c r="A125" s="13">
        <v>124</v>
      </c>
      <c r="B125" s="14" t="s">
        <v>278</v>
      </c>
      <c r="C125" s="14" t="s">
        <v>281</v>
      </c>
      <c r="D125" s="17" t="s">
        <v>9</v>
      </c>
      <c r="E125" s="16" t="s">
        <v>22</v>
      </c>
      <c r="F125" s="13">
        <v>20</v>
      </c>
      <c r="G125" s="14" t="s">
        <v>282</v>
      </c>
      <c r="H125" s="14" t="s">
        <v>4</v>
      </c>
      <c r="I125" s="14"/>
    </row>
    <row x14ac:dyDescent="0.25" r="126" customHeight="1" ht="18.75">
      <c r="A126" s="13">
        <v>125</v>
      </c>
      <c r="B126" s="14" t="s">
        <v>278</v>
      </c>
      <c r="C126" s="14" t="s">
        <v>283</v>
      </c>
      <c r="D126" s="17" t="s">
        <v>9</v>
      </c>
      <c r="E126" s="16" t="s">
        <v>22</v>
      </c>
      <c r="F126" s="13">
        <v>20</v>
      </c>
      <c r="G126" s="14" t="s">
        <v>284</v>
      </c>
      <c r="H126" s="14" t="s">
        <v>4</v>
      </c>
      <c r="I126" s="14"/>
    </row>
    <row x14ac:dyDescent="0.25" r="127" customHeight="1" ht="18.75">
      <c r="A127" s="13">
        <v>126</v>
      </c>
      <c r="B127" s="14" t="s">
        <v>278</v>
      </c>
      <c r="C127" s="14" t="s">
        <v>285</v>
      </c>
      <c r="D127" s="17" t="s">
        <v>9</v>
      </c>
      <c r="E127" s="16" t="s">
        <v>22</v>
      </c>
      <c r="F127" s="13">
        <v>20</v>
      </c>
      <c r="G127" s="14" t="s">
        <v>286</v>
      </c>
      <c r="H127" s="14" t="s">
        <v>4</v>
      </c>
      <c r="I127" s="14"/>
    </row>
    <row x14ac:dyDescent="0.25" r="128" customHeight="1" ht="18.75">
      <c r="A128" s="13">
        <v>127</v>
      </c>
      <c r="B128" s="14" t="s">
        <v>278</v>
      </c>
      <c r="C128" s="14" t="s">
        <v>287</v>
      </c>
      <c r="D128" s="17" t="s">
        <v>9</v>
      </c>
      <c r="E128" s="16" t="s">
        <v>22</v>
      </c>
      <c r="F128" s="13">
        <v>20</v>
      </c>
      <c r="G128" s="14" t="s">
        <v>288</v>
      </c>
      <c r="H128" s="14" t="s">
        <v>4</v>
      </c>
      <c r="I128" s="14"/>
    </row>
    <row x14ac:dyDescent="0.25" r="129" customHeight="1" ht="18.75">
      <c r="A129" s="13">
        <v>128</v>
      </c>
      <c r="B129" s="14" t="s">
        <v>289</v>
      </c>
      <c r="C129" s="14" t="s">
        <v>290</v>
      </c>
      <c r="D129" s="17" t="s">
        <v>9</v>
      </c>
      <c r="E129" s="16" t="s">
        <v>22</v>
      </c>
      <c r="F129" s="13">
        <v>30</v>
      </c>
      <c r="G129" s="14" t="s">
        <v>291</v>
      </c>
      <c r="H129" s="14" t="s">
        <v>4</v>
      </c>
      <c r="I129" s="14"/>
    </row>
    <row x14ac:dyDescent="0.25" r="130" customHeight="1" ht="18.75">
      <c r="A130" s="13">
        <v>129</v>
      </c>
      <c r="B130" s="14" t="s">
        <v>289</v>
      </c>
      <c r="C130" s="14" t="s">
        <v>292</v>
      </c>
      <c r="D130" s="17" t="s">
        <v>9</v>
      </c>
      <c r="E130" s="16" t="s">
        <v>22</v>
      </c>
      <c r="F130" s="13">
        <v>25</v>
      </c>
      <c r="G130" s="14" t="s">
        <v>293</v>
      </c>
      <c r="H130" s="14" t="s">
        <v>4</v>
      </c>
      <c r="I130" s="14"/>
    </row>
    <row x14ac:dyDescent="0.25" r="131" customHeight="1" ht="18.75">
      <c r="A131" s="13">
        <v>130</v>
      </c>
      <c r="B131" s="14" t="s">
        <v>289</v>
      </c>
      <c r="C131" s="14" t="s">
        <v>294</v>
      </c>
      <c r="D131" s="18" t="s">
        <v>10</v>
      </c>
      <c r="E131" s="16" t="s">
        <v>22</v>
      </c>
      <c r="F131" s="13">
        <v>30</v>
      </c>
      <c r="G131" s="14" t="s">
        <v>295</v>
      </c>
      <c r="H131" s="14" t="s">
        <v>4</v>
      </c>
      <c r="I13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"/>
  <sheetViews>
    <sheetView workbookViewId="0"/>
  </sheetViews>
  <sheetFormatPr defaultRowHeight="15" x14ac:dyDescent="0.25"/>
  <cols>
    <col min="1" max="1" style="9" width="22.005" customWidth="1" bestFit="1"/>
    <col min="2" max="2" style="10" width="14.005" customWidth="1" bestFit="1"/>
    <col min="3" max="3" style="9" width="13.576428571428572" customWidth="1" bestFit="1"/>
  </cols>
  <sheetData>
    <row x14ac:dyDescent="0.25" r="1" customHeight="1" ht="18.75">
      <c r="A1" s="1" t="s">
        <v>0</v>
      </c>
      <c r="B1" s="2"/>
      <c r="C1" s="1"/>
    </row>
    <row x14ac:dyDescent="0.25" r="2" customHeight="1" ht="18.75">
      <c r="A2" s="3"/>
      <c r="B2" s="4"/>
      <c r="C2" s="3"/>
    </row>
    <row x14ac:dyDescent="0.25" r="3" customHeight="1" ht="18.75">
      <c r="A3" s="5" t="s">
        <v>1</v>
      </c>
      <c r="B3" s="6">
        <f>COUNTA(&amp;apos;130-Day Plan&amp;apos;!A2:A131)</f>
      </c>
      <c r="C3" s="3"/>
    </row>
    <row x14ac:dyDescent="0.25" r="4" customHeight="1" ht="18.75">
      <c r="A4" s="5" t="s">
        <v>2</v>
      </c>
      <c r="B4" s="6">
        <f>COUNTIF(&amp;apos;130-Day Plan&amp;apos;!H2:H131,"Done")</f>
      </c>
      <c r="C4" s="3"/>
    </row>
    <row x14ac:dyDescent="0.25" r="5" customHeight="1" ht="18.75">
      <c r="A5" s="5" t="s">
        <v>3</v>
      </c>
      <c r="B5" s="6">
        <f>COUNTIF(&amp;apos;130-Day Plan&amp;apos;!H2:H131,"In Progress")</f>
      </c>
      <c r="C5" s="3"/>
    </row>
    <row x14ac:dyDescent="0.25" r="6" customHeight="1" ht="18.75">
      <c r="A6" s="5" t="s">
        <v>4</v>
      </c>
      <c r="B6" s="6">
        <f>COUNTIF(&amp;apos;130-Day Plan&amp;apos;!H2:H131,"Not Started")</f>
      </c>
      <c r="C6" s="3"/>
    </row>
    <row x14ac:dyDescent="0.25" r="7" customHeight="1" ht="18.75">
      <c r="A7" s="5" t="s">
        <v>5</v>
      </c>
      <c r="B7" s="6">
        <f>COUNTIF(&amp;apos;130-Day Plan&amp;apos;!H2:H131,"Skipped")</f>
      </c>
      <c r="C7" s="3"/>
    </row>
    <row x14ac:dyDescent="0.25" r="8" customHeight="1" ht="18.75">
      <c r="A8" s="5" t="s">
        <v>6</v>
      </c>
      <c r="B8" s="7">
        <f>B4/B3</f>
      </c>
      <c r="C8" s="3"/>
    </row>
    <row x14ac:dyDescent="0.25" r="9" customHeight="1" ht="18.75">
      <c r="A9" s="3"/>
      <c r="B9" s="4"/>
      <c r="C9" s="3"/>
    </row>
    <row x14ac:dyDescent="0.25" r="10" customHeight="1" ht="18.75">
      <c r="A10" s="3"/>
      <c r="B10" s="4"/>
      <c r="C10" s="3"/>
    </row>
    <row x14ac:dyDescent="0.25" r="11" customHeight="1" ht="18.75">
      <c r="A11" s="5" t="s">
        <v>7</v>
      </c>
      <c r="B11" s="4"/>
      <c r="C11" s="3"/>
    </row>
    <row x14ac:dyDescent="0.25" r="12" customHeight="1" ht="18.75">
      <c r="A12" s="8" t="s">
        <v>8</v>
      </c>
      <c r="B12" s="6">
        <f>COUNTIF(&amp;apos;130-Day Plan&amp;apos;!D2:D131,"Easy")</f>
      </c>
      <c r="C12" s="3"/>
    </row>
    <row x14ac:dyDescent="0.25" r="13" customHeight="1" ht="18.75">
      <c r="A13" s="8" t="s">
        <v>9</v>
      </c>
      <c r="B13" s="6">
        <f>COUNTIF(&amp;apos;130-Day Plan&amp;apos;!D2:D131,"Medium")</f>
      </c>
      <c r="C13" s="3"/>
    </row>
    <row x14ac:dyDescent="0.25" r="14" customHeight="1" ht="18.75">
      <c r="A14" s="8" t="s">
        <v>10</v>
      </c>
      <c r="B14" s="6">
        <f>COUNTIF(&amp;apos;130-Day Plan&amp;apos;!D2:D131,"Hard")</f>
      </c>
      <c r="C14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130-Day Plan</vt:lpstr>
      <vt:lpstr>Progress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2026-10-08T15:54:31.060Z</dcterms:created>
  <dcterms:modified xsi:type="dcterms:W3CDTF">2026-10-08T15:54:31.060Z</dcterms:modified>
</cp:coreProperties>
</file>